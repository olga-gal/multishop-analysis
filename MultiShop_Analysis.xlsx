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obiC\Downloads\"/>
    </mc:Choice>
  </mc:AlternateContent>
  <xr:revisionPtr revIDLastSave="0" documentId="13_ncr:1_{017C9991-8480-4EC5-8EDA-5271B84C097C}" xr6:coauthVersionLast="47" xr6:coauthVersionMax="47" xr10:uidLastSave="{00000000-0000-0000-0000-000000000000}"/>
  <bookViews>
    <workbookView xWindow="-120" yWindow="-120" windowWidth="29040" windowHeight="16440" firstSheet="2" activeTab="6" xr2:uid="{00000000-000D-0000-FFFF-FFFF00000000}"/>
  </bookViews>
  <sheets>
    <sheet name="Dane surowe (Raw data)" sheetId="1" r:id="rId1"/>
    <sheet name="Client lookup table" sheetId="9" r:id="rId2"/>
    <sheet name="Product lookup table" sheetId="10" r:id="rId3"/>
    <sheet name="Założenia (Assumptions)" sheetId="13" r:id="rId4"/>
    <sheet name="Dane przetw. (Processed data)" sheetId="8" r:id="rId5"/>
    <sheet name="Analiza (Analysis)" sheetId="12" r:id="rId6"/>
    <sheet name="Dashboard" sheetId="11" r:id="rId7"/>
    <sheet name="Wnioski" sheetId="14" r:id="rId8"/>
  </sheets>
  <definedNames>
    <definedName name="Client">'Client lookup table'!$A$2:$E$67</definedName>
    <definedName name="Product">'Product lookup table'!$A$2:$E$20</definedName>
    <definedName name="Prowizje">'Założenia (Assumptions)'!$B$4:$C$7</definedName>
  </definedName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2" l="1"/>
  <c r="H202" i="8"/>
  <c r="G29" i="12"/>
  <c r="G32" i="12"/>
  <c r="G26" i="12"/>
  <c r="I202" i="8"/>
  <c r="F8" i="12"/>
  <c r="K3" i="1"/>
  <c r="K4" i="1"/>
  <c r="K5" i="1"/>
  <c r="K6" i="1"/>
  <c r="K7" i="1"/>
  <c r="K8"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H97" i="8" s="1"/>
  <c r="K98" i="1"/>
  <c r="K99" i="1"/>
  <c r="K100" i="1"/>
  <c r="K101" i="1"/>
  <c r="H101" i="8" s="1"/>
  <c r="K102" i="1"/>
  <c r="K103" i="1"/>
  <c r="H103" i="8" s="1"/>
  <c r="K104" i="1"/>
  <c r="H104" i="8" s="1"/>
  <c r="K105" i="1"/>
  <c r="K106" i="1"/>
  <c r="K107" i="1"/>
  <c r="K108" i="1"/>
  <c r="K109" i="1"/>
  <c r="K110" i="1"/>
  <c r="K111" i="1"/>
  <c r="K112" i="1"/>
  <c r="K113" i="1"/>
  <c r="K114" i="1"/>
  <c r="K115" i="1"/>
  <c r="H115" i="8" s="1"/>
  <c r="K116" i="1"/>
  <c r="H116" i="8" s="1"/>
  <c r="K117" i="1"/>
  <c r="H117" i="8" s="1"/>
  <c r="K118" i="1"/>
  <c r="K119" i="1"/>
  <c r="K120" i="1"/>
  <c r="H120" i="8" s="1"/>
  <c r="K121" i="1"/>
  <c r="K122" i="1"/>
  <c r="H122" i="8" s="1"/>
  <c r="K123" i="1"/>
  <c r="H123" i="8" s="1"/>
  <c r="K124" i="1"/>
  <c r="K125" i="1"/>
  <c r="H125" i="8" s="1"/>
  <c r="K126" i="1"/>
  <c r="H126" i="8" s="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H157" i="8" s="1"/>
  <c r="K158" i="1"/>
  <c r="H158" i="8" s="1"/>
  <c r="K159" i="1"/>
  <c r="K160" i="1"/>
  <c r="K161" i="1"/>
  <c r="H161" i="8" s="1"/>
  <c r="K162" i="1"/>
  <c r="H162" i="8" s="1"/>
  <c r="K163" i="1"/>
  <c r="H163" i="8" s="1"/>
  <c r="K164" i="1"/>
  <c r="K165" i="1"/>
  <c r="H165" i="8" s="1"/>
  <c r="K166" i="1"/>
  <c r="H166" i="8" s="1"/>
  <c r="K167" i="1"/>
  <c r="H167" i="8" s="1"/>
  <c r="K168" i="1"/>
  <c r="H168" i="8" s="1"/>
  <c r="K169" i="1"/>
  <c r="H169" i="8" s="1"/>
  <c r="K170" i="1"/>
  <c r="H170" i="8" s="1"/>
  <c r="K171" i="1"/>
  <c r="K172" i="1"/>
  <c r="K173" i="1"/>
  <c r="H173" i="8" s="1"/>
  <c r="K174" i="1"/>
  <c r="H174" i="8" s="1"/>
  <c r="K175" i="1"/>
  <c r="K176" i="1"/>
  <c r="K177" i="1"/>
  <c r="K178" i="1"/>
  <c r="K179" i="1"/>
  <c r="K180" i="1"/>
  <c r="K181" i="1"/>
  <c r="K182" i="1"/>
  <c r="K183" i="1"/>
  <c r="K184" i="1"/>
  <c r="K185" i="1"/>
  <c r="K186" i="1"/>
  <c r="K187" i="1"/>
  <c r="H187" i="8" s="1"/>
  <c r="K188" i="1"/>
  <c r="K189" i="1"/>
  <c r="K190" i="1"/>
  <c r="K191" i="1"/>
  <c r="K192" i="1"/>
  <c r="K193" i="1"/>
  <c r="K194" i="1"/>
  <c r="K195" i="1"/>
  <c r="K196" i="1"/>
  <c r="K197" i="1"/>
  <c r="K198" i="1"/>
  <c r="K199" i="1"/>
  <c r="K200" i="1"/>
  <c r="K201" i="1"/>
  <c r="K9" i="1"/>
  <c r="D3" i="10"/>
  <c r="D4" i="10"/>
  <c r="D5" i="10"/>
  <c r="D2" i="10"/>
  <c r="C7" i="9"/>
  <c r="C11" i="9"/>
  <c r="I202" i="1"/>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L2" i="8"/>
  <c r="L3" i="8"/>
  <c r="N3" i="8" s="1"/>
  <c r="L4" i="8"/>
  <c r="N4" i="8" s="1"/>
  <c r="L5" i="8"/>
  <c r="N5" i="8" s="1"/>
  <c r="L6" i="8"/>
  <c r="N6" i="8" s="1"/>
  <c r="L7" i="8"/>
  <c r="N7" i="8" s="1"/>
  <c r="L8" i="8"/>
  <c r="N8" i="8" s="1"/>
  <c r="L9" i="8"/>
  <c r="N9" i="8" s="1"/>
  <c r="L10" i="8"/>
  <c r="N10" i="8" s="1"/>
  <c r="L11" i="8"/>
  <c r="N11" i="8" s="1"/>
  <c r="L12" i="8"/>
  <c r="N12" i="8" s="1"/>
  <c r="L13" i="8"/>
  <c r="N13" i="8" s="1"/>
  <c r="L14" i="8"/>
  <c r="N14" i="8" s="1"/>
  <c r="L15" i="8"/>
  <c r="N15" i="8" s="1"/>
  <c r="L16" i="8"/>
  <c r="N16" i="8" s="1"/>
  <c r="L17" i="8"/>
  <c r="N17" i="8" s="1"/>
  <c r="L18" i="8"/>
  <c r="N18" i="8" s="1"/>
  <c r="L19" i="8"/>
  <c r="N19" i="8" s="1"/>
  <c r="L20" i="8"/>
  <c r="N20" i="8" s="1"/>
  <c r="L21" i="8"/>
  <c r="N21" i="8" s="1"/>
  <c r="L22" i="8"/>
  <c r="N22" i="8" s="1"/>
  <c r="L23" i="8"/>
  <c r="N23" i="8" s="1"/>
  <c r="L24" i="8"/>
  <c r="N24" i="8" s="1"/>
  <c r="L25" i="8"/>
  <c r="N25" i="8" s="1"/>
  <c r="L26" i="8"/>
  <c r="N26" i="8" s="1"/>
  <c r="L27" i="8"/>
  <c r="N27" i="8" s="1"/>
  <c r="L28" i="8"/>
  <c r="N28" i="8" s="1"/>
  <c r="L29" i="8"/>
  <c r="N29" i="8" s="1"/>
  <c r="L30" i="8"/>
  <c r="N30" i="8" s="1"/>
  <c r="L31" i="8"/>
  <c r="N31" i="8" s="1"/>
  <c r="L32" i="8"/>
  <c r="N32" i="8" s="1"/>
  <c r="L33" i="8"/>
  <c r="N33" i="8" s="1"/>
  <c r="L34" i="8"/>
  <c r="N34" i="8" s="1"/>
  <c r="L35" i="8"/>
  <c r="N35" i="8" s="1"/>
  <c r="L36" i="8"/>
  <c r="N36" i="8" s="1"/>
  <c r="L37" i="8"/>
  <c r="N37" i="8" s="1"/>
  <c r="L38" i="8"/>
  <c r="N38" i="8" s="1"/>
  <c r="L39" i="8"/>
  <c r="N39" i="8" s="1"/>
  <c r="L40" i="8"/>
  <c r="N40" i="8" s="1"/>
  <c r="L41" i="8"/>
  <c r="N41" i="8" s="1"/>
  <c r="L42" i="8"/>
  <c r="N42" i="8" s="1"/>
  <c r="L43" i="8"/>
  <c r="N43" i="8" s="1"/>
  <c r="L44" i="8"/>
  <c r="N44" i="8" s="1"/>
  <c r="L45" i="8"/>
  <c r="N45" i="8" s="1"/>
  <c r="L46" i="8"/>
  <c r="N46" i="8" s="1"/>
  <c r="L47" i="8"/>
  <c r="N47" i="8" s="1"/>
  <c r="L48" i="8"/>
  <c r="N48" i="8" s="1"/>
  <c r="L49" i="8"/>
  <c r="N49" i="8" s="1"/>
  <c r="L50" i="8"/>
  <c r="N50" i="8" s="1"/>
  <c r="L51" i="8"/>
  <c r="N51" i="8" s="1"/>
  <c r="L52" i="8"/>
  <c r="N52" i="8" s="1"/>
  <c r="L53" i="8"/>
  <c r="N53" i="8" s="1"/>
  <c r="L54" i="8"/>
  <c r="N54" i="8" s="1"/>
  <c r="L55" i="8"/>
  <c r="N55" i="8" s="1"/>
  <c r="L56" i="8"/>
  <c r="N56" i="8" s="1"/>
  <c r="L57" i="8"/>
  <c r="N57" i="8" s="1"/>
  <c r="L58" i="8"/>
  <c r="N58" i="8" s="1"/>
  <c r="L59" i="8"/>
  <c r="N59" i="8" s="1"/>
  <c r="L60" i="8"/>
  <c r="N60" i="8" s="1"/>
  <c r="L61" i="8"/>
  <c r="N61" i="8" s="1"/>
  <c r="L62" i="8"/>
  <c r="N62" i="8" s="1"/>
  <c r="L63" i="8"/>
  <c r="N63" i="8" s="1"/>
  <c r="L64" i="8"/>
  <c r="N64" i="8" s="1"/>
  <c r="L65" i="8"/>
  <c r="N65" i="8" s="1"/>
  <c r="L66" i="8"/>
  <c r="N66" i="8" s="1"/>
  <c r="L67" i="8"/>
  <c r="N67" i="8" s="1"/>
  <c r="L68" i="8"/>
  <c r="N68" i="8" s="1"/>
  <c r="L69" i="8"/>
  <c r="N69" i="8" s="1"/>
  <c r="L70" i="8"/>
  <c r="N70" i="8" s="1"/>
  <c r="L71" i="8"/>
  <c r="N71" i="8" s="1"/>
  <c r="L72" i="8"/>
  <c r="N72" i="8" s="1"/>
  <c r="L73" i="8"/>
  <c r="N73" i="8" s="1"/>
  <c r="L74" i="8"/>
  <c r="N74" i="8" s="1"/>
  <c r="L75" i="8"/>
  <c r="N75" i="8" s="1"/>
  <c r="L76" i="8"/>
  <c r="N76" i="8" s="1"/>
  <c r="L77" i="8"/>
  <c r="N77" i="8" s="1"/>
  <c r="L78" i="8"/>
  <c r="N78" i="8" s="1"/>
  <c r="L79" i="8"/>
  <c r="N79" i="8" s="1"/>
  <c r="L80" i="8"/>
  <c r="N80" i="8" s="1"/>
  <c r="L81" i="8"/>
  <c r="N81" i="8" s="1"/>
  <c r="L82" i="8"/>
  <c r="N82" i="8" s="1"/>
  <c r="L83" i="8"/>
  <c r="N83" i="8" s="1"/>
  <c r="L84" i="8"/>
  <c r="N84" i="8" s="1"/>
  <c r="L85" i="8"/>
  <c r="N85" i="8" s="1"/>
  <c r="L86" i="8"/>
  <c r="N86" i="8" s="1"/>
  <c r="L87" i="8"/>
  <c r="N87" i="8" s="1"/>
  <c r="L88" i="8"/>
  <c r="N88" i="8" s="1"/>
  <c r="L89" i="8"/>
  <c r="N89" i="8" s="1"/>
  <c r="L90" i="8"/>
  <c r="N90" i="8" s="1"/>
  <c r="L91" i="8"/>
  <c r="N91" i="8" s="1"/>
  <c r="L92" i="8"/>
  <c r="N92" i="8" s="1"/>
  <c r="L93" i="8"/>
  <c r="N93" i="8" s="1"/>
  <c r="L94" i="8"/>
  <c r="N94" i="8" s="1"/>
  <c r="L95" i="8"/>
  <c r="N95" i="8" s="1"/>
  <c r="L96" i="8"/>
  <c r="N96" i="8" s="1"/>
  <c r="L97" i="8"/>
  <c r="N97" i="8" s="1"/>
  <c r="L98" i="8"/>
  <c r="N98" i="8" s="1"/>
  <c r="L99" i="8"/>
  <c r="N99" i="8" s="1"/>
  <c r="L100" i="8"/>
  <c r="N100" i="8" s="1"/>
  <c r="L101" i="8"/>
  <c r="N101" i="8" s="1"/>
  <c r="L102" i="8"/>
  <c r="N102" i="8" s="1"/>
  <c r="L103" i="8"/>
  <c r="N103" i="8" s="1"/>
  <c r="L104" i="8"/>
  <c r="N104" i="8" s="1"/>
  <c r="L105" i="8"/>
  <c r="N105" i="8" s="1"/>
  <c r="L106" i="8"/>
  <c r="N106" i="8" s="1"/>
  <c r="L107" i="8"/>
  <c r="N107" i="8" s="1"/>
  <c r="L108" i="8"/>
  <c r="N108" i="8" s="1"/>
  <c r="L109" i="8"/>
  <c r="N109" i="8" s="1"/>
  <c r="L110" i="8"/>
  <c r="N110" i="8" s="1"/>
  <c r="L111" i="8"/>
  <c r="N111" i="8" s="1"/>
  <c r="L112" i="8"/>
  <c r="N112" i="8" s="1"/>
  <c r="L113" i="8"/>
  <c r="N113" i="8" s="1"/>
  <c r="L114" i="8"/>
  <c r="N114" i="8" s="1"/>
  <c r="L115" i="8"/>
  <c r="N115" i="8" s="1"/>
  <c r="L116" i="8"/>
  <c r="N116" i="8" s="1"/>
  <c r="L117" i="8"/>
  <c r="N117" i="8" s="1"/>
  <c r="L118" i="8"/>
  <c r="N118" i="8" s="1"/>
  <c r="L119" i="8"/>
  <c r="N119" i="8" s="1"/>
  <c r="L120" i="8"/>
  <c r="N120" i="8" s="1"/>
  <c r="L121" i="8"/>
  <c r="N121" i="8" s="1"/>
  <c r="L122" i="8"/>
  <c r="N122" i="8" s="1"/>
  <c r="L123" i="8"/>
  <c r="N123" i="8" s="1"/>
  <c r="L124" i="8"/>
  <c r="N124" i="8" s="1"/>
  <c r="L125" i="8"/>
  <c r="N125" i="8" s="1"/>
  <c r="L126" i="8"/>
  <c r="N126" i="8" s="1"/>
  <c r="L127" i="8"/>
  <c r="N127" i="8" s="1"/>
  <c r="L128" i="8"/>
  <c r="N128" i="8" s="1"/>
  <c r="L129" i="8"/>
  <c r="N129" i="8" s="1"/>
  <c r="L130" i="8"/>
  <c r="N130" i="8" s="1"/>
  <c r="L131" i="8"/>
  <c r="N131" i="8" s="1"/>
  <c r="L132" i="8"/>
  <c r="N132" i="8" s="1"/>
  <c r="L133" i="8"/>
  <c r="N133" i="8" s="1"/>
  <c r="L134" i="8"/>
  <c r="N134" i="8" s="1"/>
  <c r="L135" i="8"/>
  <c r="N135" i="8" s="1"/>
  <c r="L136" i="8"/>
  <c r="N136" i="8" s="1"/>
  <c r="L137" i="8"/>
  <c r="N137" i="8" s="1"/>
  <c r="L138" i="8"/>
  <c r="N138" i="8" s="1"/>
  <c r="L139" i="8"/>
  <c r="N139" i="8" s="1"/>
  <c r="L140" i="8"/>
  <c r="N140" i="8" s="1"/>
  <c r="L141" i="8"/>
  <c r="N141" i="8" s="1"/>
  <c r="L142" i="8"/>
  <c r="N142" i="8" s="1"/>
  <c r="L143" i="8"/>
  <c r="N143" i="8" s="1"/>
  <c r="L144" i="8"/>
  <c r="N144" i="8" s="1"/>
  <c r="L145" i="8"/>
  <c r="N145" i="8" s="1"/>
  <c r="L146" i="8"/>
  <c r="N146" i="8" s="1"/>
  <c r="L147" i="8"/>
  <c r="N147" i="8" s="1"/>
  <c r="L148" i="8"/>
  <c r="N148" i="8" s="1"/>
  <c r="L149" i="8"/>
  <c r="N149" i="8" s="1"/>
  <c r="L150" i="8"/>
  <c r="N150" i="8" s="1"/>
  <c r="L151" i="8"/>
  <c r="N151" i="8" s="1"/>
  <c r="L152" i="8"/>
  <c r="N152" i="8" s="1"/>
  <c r="L153" i="8"/>
  <c r="N153" i="8" s="1"/>
  <c r="L154" i="8"/>
  <c r="N154" i="8" s="1"/>
  <c r="L155" i="8"/>
  <c r="N155" i="8" s="1"/>
  <c r="L156" i="8"/>
  <c r="N156" i="8" s="1"/>
  <c r="L157" i="8"/>
  <c r="N157" i="8" s="1"/>
  <c r="L158" i="8"/>
  <c r="N158" i="8" s="1"/>
  <c r="L159" i="8"/>
  <c r="N159" i="8" s="1"/>
  <c r="L160" i="8"/>
  <c r="N160" i="8" s="1"/>
  <c r="L161" i="8"/>
  <c r="N161" i="8" s="1"/>
  <c r="L162" i="8"/>
  <c r="N162" i="8" s="1"/>
  <c r="L163" i="8"/>
  <c r="N163" i="8" s="1"/>
  <c r="L164" i="8"/>
  <c r="N164" i="8" s="1"/>
  <c r="L165" i="8"/>
  <c r="N165" i="8" s="1"/>
  <c r="L166" i="8"/>
  <c r="N166" i="8" s="1"/>
  <c r="L167" i="8"/>
  <c r="N167" i="8" s="1"/>
  <c r="L168" i="8"/>
  <c r="N168" i="8" s="1"/>
  <c r="L169" i="8"/>
  <c r="N169" i="8" s="1"/>
  <c r="L170" i="8"/>
  <c r="N170" i="8" s="1"/>
  <c r="L171" i="8"/>
  <c r="N171" i="8" s="1"/>
  <c r="L172" i="8"/>
  <c r="N172" i="8" s="1"/>
  <c r="L173" i="8"/>
  <c r="N173" i="8" s="1"/>
  <c r="L174" i="8"/>
  <c r="N174" i="8" s="1"/>
  <c r="L175" i="8"/>
  <c r="N175" i="8" s="1"/>
  <c r="L176" i="8"/>
  <c r="N176" i="8" s="1"/>
  <c r="L177" i="8"/>
  <c r="N177" i="8" s="1"/>
  <c r="L178" i="8"/>
  <c r="N178" i="8" s="1"/>
  <c r="L179" i="8"/>
  <c r="N179" i="8" s="1"/>
  <c r="L180" i="8"/>
  <c r="N180" i="8" s="1"/>
  <c r="L181" i="8"/>
  <c r="N181" i="8" s="1"/>
  <c r="L182" i="8"/>
  <c r="N182" i="8" s="1"/>
  <c r="L183" i="8"/>
  <c r="N183" i="8" s="1"/>
  <c r="L184" i="8"/>
  <c r="N184" i="8" s="1"/>
  <c r="L185" i="8"/>
  <c r="N185" i="8" s="1"/>
  <c r="L186" i="8"/>
  <c r="N186" i="8" s="1"/>
  <c r="L187" i="8"/>
  <c r="N187" i="8" s="1"/>
  <c r="L188" i="8"/>
  <c r="N188" i="8" s="1"/>
  <c r="L189" i="8"/>
  <c r="N189" i="8" s="1"/>
  <c r="L190" i="8"/>
  <c r="N190" i="8" s="1"/>
  <c r="L191" i="8"/>
  <c r="N191" i="8" s="1"/>
  <c r="L192" i="8"/>
  <c r="N192" i="8" s="1"/>
  <c r="L193" i="8"/>
  <c r="N193" i="8" s="1"/>
  <c r="L194" i="8"/>
  <c r="N194" i="8" s="1"/>
  <c r="L195" i="8"/>
  <c r="N195" i="8" s="1"/>
  <c r="L196" i="8"/>
  <c r="N196" i="8" s="1"/>
  <c r="L197" i="8"/>
  <c r="N197" i="8" s="1"/>
  <c r="L198" i="8"/>
  <c r="N198" i="8" s="1"/>
  <c r="L199" i="8"/>
  <c r="N199" i="8" s="1"/>
  <c r="L200" i="8"/>
  <c r="N200" i="8" s="1"/>
  <c r="L201" i="8"/>
  <c r="N201" i="8" s="1"/>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2" i="8"/>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D11" i="10"/>
  <c r="D12" i="10"/>
  <c r="D13" i="10"/>
  <c r="D14" i="10"/>
  <c r="D15" i="10"/>
  <c r="D10" i="10"/>
  <c r="D7" i="10"/>
  <c r="D8" i="10"/>
  <c r="D9" i="10"/>
  <c r="D6" i="10"/>
  <c r="D17" i="10"/>
  <c r="D18" i="10"/>
  <c r="D19" i="10"/>
  <c r="D20" i="10"/>
  <c r="D16" i="10"/>
  <c r="C3" i="9"/>
  <c r="C4" i="9"/>
  <c r="C5" i="9"/>
  <c r="C6" i="9"/>
  <c r="C8" i="9"/>
  <c r="C9" i="9"/>
  <c r="C10"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2" i="9"/>
  <c r="F20" i="12"/>
  <c r="F21" i="12"/>
  <c r="F18" i="12"/>
  <c r="F22" i="12"/>
  <c r="F23" i="12"/>
  <c r="F19" i="12"/>
  <c r="I4" i="8" l="1"/>
  <c r="I6" i="8"/>
  <c r="I7" i="8"/>
  <c r="I10" i="8"/>
  <c r="I12" i="8"/>
  <c r="I14" i="8"/>
  <c r="I16" i="8"/>
  <c r="I17" i="8"/>
  <c r="I18" i="8"/>
  <c r="I22" i="8"/>
  <c r="I81" i="8"/>
  <c r="I82" i="8"/>
  <c r="I86" i="8"/>
  <c r="I88" i="8"/>
  <c r="I89" i="8"/>
  <c r="I90" i="8"/>
  <c r="I93" i="8"/>
  <c r="I94" i="8"/>
  <c r="I95" i="8"/>
  <c r="M202" i="8" a="1"/>
  <c r="M202" i="8" s="1"/>
  <c r="F15" i="12"/>
  <c r="G202" i="8"/>
  <c r="A202" i="8"/>
  <c r="B202" i="8" a="1"/>
  <c r="B202" i="8" s="1"/>
  <c r="F202" i="8" a="1"/>
  <c r="F202" i="8" s="1"/>
  <c r="D202" i="8" a="1"/>
  <c r="D202" i="8" s="1"/>
  <c r="E202" i="8" a="1"/>
  <c r="E202" i="8" s="1"/>
  <c r="C202" i="8" a="1"/>
  <c r="C202" i="8" s="1"/>
  <c r="N2" i="8"/>
  <c r="L202" i="8" a="1"/>
  <c r="L202" i="8" s="1"/>
  <c r="H83" i="8"/>
  <c r="I83" i="8"/>
  <c r="J83" i="8" s="1"/>
  <c r="H84" i="8"/>
  <c r="I84" i="8"/>
  <c r="J84" i="8" s="1"/>
  <c r="H85" i="8"/>
  <c r="I85" i="8"/>
  <c r="J85" i="8" s="1"/>
  <c r="H87" i="8"/>
  <c r="I87" i="8"/>
  <c r="J87" i="8" s="1"/>
  <c r="H160" i="8"/>
  <c r="I160" i="8"/>
  <c r="J160" i="8" s="1"/>
  <c r="H172" i="8"/>
  <c r="D7" i="9"/>
  <c r="H11" i="8"/>
  <c r="I11" i="8"/>
  <c r="H13" i="8"/>
  <c r="I13" i="8"/>
  <c r="J13" i="8" s="1"/>
  <c r="K13" i="8" s="1"/>
  <c r="H15" i="8"/>
  <c r="I15" i="8"/>
  <c r="J15" i="8" s="1"/>
  <c r="K15" i="8" s="1"/>
  <c r="H91" i="8"/>
  <c r="I91" i="8"/>
  <c r="J91" i="8" s="1"/>
  <c r="H92" i="8"/>
  <c r="I92" i="8"/>
  <c r="J92" i="8" s="1"/>
  <c r="K92" i="8" s="1"/>
  <c r="I32" i="8"/>
  <c r="I34" i="8"/>
  <c r="I38" i="8"/>
  <c r="I39" i="8"/>
  <c r="I42" i="8"/>
  <c r="I43" i="8"/>
  <c r="I49" i="8"/>
  <c r="I55" i="8"/>
  <c r="I57" i="8"/>
  <c r="I59" i="8"/>
  <c r="I63" i="8"/>
  <c r="I65" i="8"/>
  <c r="I66" i="8"/>
  <c r="I67" i="8"/>
  <c r="I68" i="8"/>
  <c r="I71" i="8"/>
  <c r="I72" i="8"/>
  <c r="I73" i="8"/>
  <c r="I74" i="8"/>
  <c r="I75" i="8"/>
  <c r="I76" i="8"/>
  <c r="I77" i="8"/>
  <c r="I78" i="8"/>
  <c r="I136" i="8"/>
  <c r="I147" i="8"/>
  <c r="I148" i="8"/>
  <c r="I149" i="8"/>
  <c r="I150" i="8"/>
  <c r="I151" i="8"/>
  <c r="I152" i="8"/>
  <c r="H3" i="8"/>
  <c r="I3" i="8"/>
  <c r="J3" i="8" s="1"/>
  <c r="H5" i="8"/>
  <c r="I5" i="8"/>
  <c r="J5" i="8" s="1"/>
  <c r="H8" i="8"/>
  <c r="I8" i="8"/>
  <c r="H9" i="8"/>
  <c r="I9" i="8"/>
  <c r="J9" i="8" s="1"/>
  <c r="K9" i="8" s="1"/>
  <c r="I96" i="8"/>
  <c r="I97" i="8"/>
  <c r="J97" i="8" s="1"/>
  <c r="I98" i="8"/>
  <c r="I99" i="8"/>
  <c r="I100" i="8"/>
  <c r="I101" i="8"/>
  <c r="J101" i="8" s="1"/>
  <c r="K101" i="8" s="1"/>
  <c r="I102" i="8"/>
  <c r="I103" i="8"/>
  <c r="J103" i="8" s="1"/>
  <c r="K103" i="8" s="1"/>
  <c r="I104" i="8"/>
  <c r="J104" i="8" s="1"/>
  <c r="K104" i="8" s="1"/>
  <c r="I105" i="8"/>
  <c r="I106" i="8"/>
  <c r="I107" i="8"/>
  <c r="I108" i="8"/>
  <c r="I109" i="8"/>
  <c r="I110" i="8"/>
  <c r="I111" i="8"/>
  <c r="I112" i="8"/>
  <c r="I113" i="8"/>
  <c r="I114" i="8"/>
  <c r="I115" i="8"/>
  <c r="J115" i="8" s="1"/>
  <c r="K115" i="8" s="1"/>
  <c r="I116" i="8"/>
  <c r="J116" i="8" s="1"/>
  <c r="K116" i="8" s="1"/>
  <c r="I117" i="8"/>
  <c r="J117" i="8" s="1"/>
  <c r="K117" i="8" s="1"/>
  <c r="I118" i="8"/>
  <c r="I119" i="8"/>
  <c r="I120" i="8"/>
  <c r="J120" i="8" s="1"/>
  <c r="I121" i="8"/>
  <c r="I122" i="8"/>
  <c r="J122" i="8" s="1"/>
  <c r="K122" i="8" s="1"/>
  <c r="I123" i="8"/>
  <c r="J123" i="8" s="1"/>
  <c r="K123" i="8" s="1"/>
  <c r="I124" i="8"/>
  <c r="I125" i="8"/>
  <c r="J125" i="8" s="1"/>
  <c r="K125" i="8" s="1"/>
  <c r="I126" i="8"/>
  <c r="J126" i="8" s="1"/>
  <c r="K126" i="8" s="1"/>
  <c r="I156" i="8"/>
  <c r="I157" i="8"/>
  <c r="J157" i="8" s="1"/>
  <c r="I158" i="8"/>
  <c r="J158" i="8" s="1"/>
  <c r="I159" i="8"/>
  <c r="I161" i="8"/>
  <c r="J161" i="8" s="1"/>
  <c r="I162" i="8"/>
  <c r="J162" i="8" s="1"/>
  <c r="I163" i="8"/>
  <c r="J163" i="8" s="1"/>
  <c r="I164" i="8"/>
  <c r="I165" i="8"/>
  <c r="J165" i="8" s="1"/>
  <c r="I166" i="8"/>
  <c r="J166" i="8" s="1"/>
  <c r="K166" i="8" s="1"/>
  <c r="I167" i="8"/>
  <c r="J167" i="8" s="1"/>
  <c r="I168" i="8"/>
  <c r="J168" i="8" s="1"/>
  <c r="I169" i="8"/>
  <c r="J169" i="8" s="1"/>
  <c r="K169" i="8" s="1"/>
  <c r="I170" i="8"/>
  <c r="J170" i="8" s="1"/>
  <c r="I171" i="8"/>
  <c r="I172" i="8"/>
  <c r="I173" i="8"/>
  <c r="J173" i="8" s="1"/>
  <c r="I174" i="8"/>
  <c r="J174" i="8" s="1"/>
  <c r="K174" i="8" s="1"/>
  <c r="I175" i="8"/>
  <c r="I176" i="8"/>
  <c r="I177" i="8"/>
  <c r="I178" i="8"/>
  <c r="I179" i="8"/>
  <c r="I180" i="8"/>
  <c r="I181" i="8"/>
  <c r="I182" i="8"/>
  <c r="I183" i="8"/>
  <c r="I184" i="8"/>
  <c r="I185" i="8"/>
  <c r="I186" i="8"/>
  <c r="I187" i="8"/>
  <c r="J187" i="8" s="1"/>
  <c r="K187" i="8" s="1"/>
  <c r="I188" i="8"/>
  <c r="I189" i="8"/>
  <c r="I190" i="8"/>
  <c r="I191" i="8"/>
  <c r="I192" i="8"/>
  <c r="I193" i="8"/>
  <c r="I194" i="8"/>
  <c r="I195" i="8"/>
  <c r="I196" i="8"/>
  <c r="I197" i="8"/>
  <c r="I198" i="8"/>
  <c r="I199" i="8"/>
  <c r="I200" i="8"/>
  <c r="I201" i="8"/>
  <c r="I19" i="8"/>
  <c r="H19" i="8"/>
  <c r="I20" i="8"/>
  <c r="H20" i="8"/>
  <c r="I21" i="8"/>
  <c r="H21" i="8"/>
  <c r="I23" i="8"/>
  <c r="H23" i="8"/>
  <c r="I24" i="8"/>
  <c r="H24" i="8"/>
  <c r="I25" i="8"/>
  <c r="H25" i="8"/>
  <c r="I26" i="8"/>
  <c r="H26" i="8"/>
  <c r="I27" i="8"/>
  <c r="H27" i="8"/>
  <c r="I28" i="8"/>
  <c r="H28" i="8"/>
  <c r="I29" i="8"/>
  <c r="H29" i="8"/>
  <c r="I30" i="8"/>
  <c r="H30" i="8"/>
  <c r="I31" i="8"/>
  <c r="H31" i="8"/>
  <c r="I33" i="8"/>
  <c r="H33" i="8"/>
  <c r="I35" i="8"/>
  <c r="H35" i="8"/>
  <c r="I36" i="8"/>
  <c r="H36" i="8"/>
  <c r="I37" i="8"/>
  <c r="H37" i="8"/>
  <c r="I40" i="8"/>
  <c r="H40" i="8"/>
  <c r="I41" i="8"/>
  <c r="H41" i="8"/>
  <c r="I44" i="8"/>
  <c r="H44" i="8"/>
  <c r="I45" i="8"/>
  <c r="H45" i="8"/>
  <c r="I46" i="8"/>
  <c r="H46" i="8"/>
  <c r="I47" i="8"/>
  <c r="H47" i="8"/>
  <c r="I48" i="8"/>
  <c r="H48" i="8"/>
  <c r="I50" i="8"/>
  <c r="H50" i="8"/>
  <c r="I51" i="8"/>
  <c r="H51" i="8"/>
  <c r="I52" i="8"/>
  <c r="E49" i="9" s="1"/>
  <c r="H52" i="8"/>
  <c r="I53" i="8"/>
  <c r="H53" i="8"/>
  <c r="I54" i="8"/>
  <c r="H54" i="8"/>
  <c r="I56" i="8"/>
  <c r="H56" i="8"/>
  <c r="I58" i="8"/>
  <c r="H58" i="8"/>
  <c r="I60" i="8"/>
  <c r="H60" i="8"/>
  <c r="I61" i="8"/>
  <c r="H61" i="8"/>
  <c r="I62" i="8"/>
  <c r="H62" i="8"/>
  <c r="I64" i="8"/>
  <c r="H64" i="8"/>
  <c r="I69" i="8"/>
  <c r="H69" i="8"/>
  <c r="I70" i="8"/>
  <c r="H70" i="8"/>
  <c r="I79" i="8"/>
  <c r="H79" i="8"/>
  <c r="I80" i="8"/>
  <c r="H80" i="8"/>
  <c r="I127" i="8"/>
  <c r="H127" i="8"/>
  <c r="I128" i="8"/>
  <c r="H128" i="8"/>
  <c r="I129" i="8"/>
  <c r="H129" i="8"/>
  <c r="I130" i="8"/>
  <c r="H130" i="8"/>
  <c r="I131" i="8"/>
  <c r="H131" i="8"/>
  <c r="I132" i="8"/>
  <c r="H132" i="8"/>
  <c r="I133" i="8"/>
  <c r="H133" i="8"/>
  <c r="I134" i="8"/>
  <c r="H134" i="8"/>
  <c r="I135" i="8"/>
  <c r="H135" i="8"/>
  <c r="I137" i="8"/>
  <c r="H137" i="8"/>
  <c r="I138" i="8"/>
  <c r="H138" i="8"/>
  <c r="I139" i="8"/>
  <c r="H139" i="8"/>
  <c r="I140" i="8"/>
  <c r="H140" i="8"/>
  <c r="I141" i="8"/>
  <c r="H141" i="8"/>
  <c r="I142" i="8"/>
  <c r="H142" i="8"/>
  <c r="I143" i="8"/>
  <c r="H143" i="8"/>
  <c r="I144" i="8"/>
  <c r="H144" i="8"/>
  <c r="I145" i="8"/>
  <c r="H145" i="8"/>
  <c r="I146" i="8"/>
  <c r="H146" i="8"/>
  <c r="I153" i="8"/>
  <c r="H153" i="8"/>
  <c r="I154" i="8"/>
  <c r="H154" i="8"/>
  <c r="I155" i="8"/>
  <c r="H155" i="8"/>
  <c r="H55" i="8"/>
  <c r="H57" i="8"/>
  <c r="H86" i="8"/>
  <c r="H88" i="8"/>
  <c r="H136" i="8"/>
  <c r="H156" i="8"/>
  <c r="H159" i="8"/>
  <c r="H164" i="8"/>
  <c r="H171" i="8"/>
  <c r="H175" i="8"/>
  <c r="H4" i="8"/>
  <c r="H6" i="8"/>
  <c r="H7" i="8"/>
  <c r="H10" i="8"/>
  <c r="H14" i="8"/>
  <c r="H16" i="8"/>
  <c r="H17" i="8"/>
  <c r="H18" i="8"/>
  <c r="H32" i="8"/>
  <c r="H34" i="8"/>
  <c r="H38" i="8"/>
  <c r="H39" i="8"/>
  <c r="H42" i="8"/>
  <c r="H43" i="8"/>
  <c r="H63" i="8"/>
  <c r="H65" i="8"/>
  <c r="H66" i="8"/>
  <c r="H67" i="8"/>
  <c r="H68" i="8"/>
  <c r="H71" i="8"/>
  <c r="H72" i="8"/>
  <c r="H74" i="8"/>
  <c r="H75" i="8"/>
  <c r="H76" i="8"/>
  <c r="H77" i="8"/>
  <c r="H78" i="8"/>
  <c r="H81" i="8"/>
  <c r="H82" i="8"/>
  <c r="H89" i="8"/>
  <c r="H90" i="8"/>
  <c r="H93" i="8"/>
  <c r="H94" i="8"/>
  <c r="H95" i="8"/>
  <c r="H96" i="8"/>
  <c r="H98" i="8"/>
  <c r="H99" i="8"/>
  <c r="H100" i="8"/>
  <c r="H102" i="8"/>
  <c r="H105" i="8"/>
  <c r="H106" i="8"/>
  <c r="H107" i="8"/>
  <c r="H108" i="8"/>
  <c r="H109" i="8"/>
  <c r="H110" i="8"/>
  <c r="H111" i="8"/>
  <c r="H112" i="8"/>
  <c r="H113" i="8"/>
  <c r="H114" i="8"/>
  <c r="H118" i="8"/>
  <c r="H119" i="8"/>
  <c r="H121" i="8"/>
  <c r="H124" i="8"/>
  <c r="H147" i="8"/>
  <c r="H148" i="8"/>
  <c r="H149" i="8"/>
  <c r="H150" i="8"/>
  <c r="H151" i="8"/>
  <c r="H152" i="8"/>
  <c r="H176" i="8"/>
  <c r="H177" i="8"/>
  <c r="H178" i="8"/>
  <c r="H179" i="8"/>
  <c r="H180" i="8"/>
  <c r="H181" i="8"/>
  <c r="H182" i="8"/>
  <c r="H183" i="8"/>
  <c r="H184" i="8"/>
  <c r="H185" i="8"/>
  <c r="H186" i="8"/>
  <c r="H188" i="8"/>
  <c r="H189" i="8"/>
  <c r="H190" i="8"/>
  <c r="H191" i="8"/>
  <c r="H192" i="8"/>
  <c r="H193" i="8"/>
  <c r="H194" i="8"/>
  <c r="H195" i="8"/>
  <c r="H196" i="8"/>
  <c r="H197" i="8"/>
  <c r="H198" i="8"/>
  <c r="H199" i="8"/>
  <c r="H200" i="8"/>
  <c r="H201" i="8"/>
  <c r="H49" i="8"/>
  <c r="H12" i="8"/>
  <c r="H59" i="8"/>
  <c r="H73" i="8"/>
  <c r="H22" i="8"/>
  <c r="D2" i="9"/>
  <c r="D54" i="9"/>
  <c r="D55" i="9"/>
  <c r="D24" i="9"/>
  <c r="D31" i="9"/>
  <c r="D62" i="9"/>
  <c r="D56" i="9"/>
  <c r="D60" i="9"/>
  <c r="D15" i="9"/>
  <c r="D59" i="9"/>
  <c r="H202" i="1"/>
  <c r="K2" i="1"/>
  <c r="I2" i="8" s="1"/>
  <c r="D35" i="9"/>
  <c r="D33" i="9"/>
  <c r="D28" i="9"/>
  <c r="D36" i="9"/>
  <c r="D38" i="9"/>
  <c r="D34" i="9"/>
  <c r="D30" i="9"/>
  <c r="D37" i="9"/>
  <c r="D52" i="9"/>
  <c r="D44" i="9"/>
  <c r="D58" i="9"/>
  <c r="D22" i="9"/>
  <c r="D53" i="9"/>
  <c r="D43" i="9"/>
  <c r="D64" i="9"/>
  <c r="D66" i="9"/>
  <c r="D67" i="9"/>
  <c r="D65" i="9"/>
  <c r="D32" i="9"/>
  <c r="D12" i="9"/>
  <c r="D14" i="9"/>
  <c r="D5" i="9"/>
  <c r="D16" i="9"/>
  <c r="D11" i="9"/>
  <c r="D17" i="9"/>
  <c r="D8" i="9"/>
  <c r="D19" i="9"/>
  <c r="D9" i="9"/>
  <c r="D13" i="9"/>
  <c r="D3" i="9"/>
  <c r="D4" i="9"/>
  <c r="D10" i="9"/>
  <c r="D20" i="9"/>
  <c r="D23" i="9"/>
  <c r="D6" i="9"/>
  <c r="D18" i="9"/>
  <c r="D21" i="9"/>
  <c r="D57" i="9"/>
  <c r="D51" i="9"/>
  <c r="D48" i="9"/>
  <c r="D45" i="9"/>
  <c r="D46" i="9"/>
  <c r="D49" i="9"/>
  <c r="D47" i="9"/>
  <c r="D39" i="9"/>
  <c r="D40" i="9"/>
  <c r="D50" i="9"/>
  <c r="D41" i="9"/>
  <c r="D25" i="9"/>
  <c r="D26" i="9"/>
  <c r="D27" i="9"/>
  <c r="D63" i="9"/>
  <c r="D61" i="9"/>
  <c r="D29" i="9"/>
  <c r="J11" i="8" l="1"/>
  <c r="K11" i="8" s="1"/>
  <c r="J8" i="8"/>
  <c r="K8" i="8" s="1"/>
  <c r="J16" i="8"/>
  <c r="J18" i="8"/>
  <c r="K18" i="8" s="1"/>
  <c r="J81" i="8"/>
  <c r="K81" i="8" s="1"/>
  <c r="J86" i="8"/>
  <c r="K86" i="8" s="1"/>
  <c r="J88" i="8"/>
  <c r="K88" i="8" s="1"/>
  <c r="J4" i="8"/>
  <c r="J6" i="8"/>
  <c r="K6" i="8" s="1"/>
  <c r="J7" i="8"/>
  <c r="K7" i="8" s="1"/>
  <c r="J10" i="8"/>
  <c r="K10" i="8" s="1"/>
  <c r="J14" i="8"/>
  <c r="K14" i="8" s="1"/>
  <c r="J17" i="8"/>
  <c r="K17" i="8" s="1"/>
  <c r="J82" i="8"/>
  <c r="K82" i="8" s="1"/>
  <c r="J89" i="8"/>
  <c r="K89" i="8" s="1"/>
  <c r="J90" i="8"/>
  <c r="K90" i="8" s="1"/>
  <c r="J93" i="8"/>
  <c r="K93" i="8" s="1"/>
  <c r="J94" i="8"/>
  <c r="J95" i="8"/>
  <c r="J12" i="8"/>
  <c r="K12" i="8" s="1"/>
  <c r="J22" i="8"/>
  <c r="K22" i="8" s="1"/>
  <c r="N202" i="8" a="1"/>
  <c r="N202" i="8" s="1"/>
  <c r="J172" i="8"/>
  <c r="J26" i="8"/>
  <c r="J28" i="8"/>
  <c r="K28" i="8" s="1"/>
  <c r="J29" i="8"/>
  <c r="K29" i="8" s="1"/>
  <c r="J32" i="8"/>
  <c r="K32" i="8" s="1"/>
  <c r="J38" i="8"/>
  <c r="K38" i="8" s="1"/>
  <c r="J39" i="8"/>
  <c r="K39" i="8" s="1"/>
  <c r="J42" i="8"/>
  <c r="K42" i="8" s="1"/>
  <c r="J43" i="8"/>
  <c r="K43" i="8" s="1"/>
  <c r="J34" i="8"/>
  <c r="K34" i="8" s="1"/>
  <c r="J49" i="8"/>
  <c r="K49" i="8" s="1"/>
  <c r="J27" i="8"/>
  <c r="K27" i="8" s="1"/>
  <c r="J30" i="8"/>
  <c r="K30" i="8" s="1"/>
  <c r="J25" i="8"/>
  <c r="K25" i="8" s="1"/>
  <c r="J139" i="8"/>
  <c r="K139" i="8" s="1"/>
  <c r="J153" i="8"/>
  <c r="J55" i="8"/>
  <c r="K55" i="8" s="1"/>
  <c r="J57" i="8"/>
  <c r="K57" i="8" s="1"/>
  <c r="J136" i="8"/>
  <c r="K136" i="8" s="1"/>
  <c r="J63" i="8"/>
  <c r="K63" i="8" s="1"/>
  <c r="J65" i="8"/>
  <c r="K65" i="8" s="1"/>
  <c r="J66" i="8"/>
  <c r="K66" i="8" s="1"/>
  <c r="J148" i="8"/>
  <c r="K148" i="8" s="1"/>
  <c r="J149" i="8"/>
  <c r="K149" i="8" s="1"/>
  <c r="J150" i="8"/>
  <c r="K150" i="8" s="1"/>
  <c r="J152" i="8"/>
  <c r="K152" i="8" s="1"/>
  <c r="J59" i="8"/>
  <c r="K59" i="8" s="1"/>
  <c r="J73" i="8"/>
  <c r="K73" i="8" s="1"/>
  <c r="J67" i="8"/>
  <c r="K67" i="8" s="1"/>
  <c r="J68" i="8"/>
  <c r="K68" i="8" s="1"/>
  <c r="J71" i="8"/>
  <c r="K71" i="8" s="1"/>
  <c r="J72" i="8"/>
  <c r="K72" i="8" s="1"/>
  <c r="J74" i="8"/>
  <c r="K74" i="8" s="1"/>
  <c r="J75" i="8"/>
  <c r="K75" i="8" s="1"/>
  <c r="J76" i="8"/>
  <c r="K76" i="8" s="1"/>
  <c r="J77" i="8"/>
  <c r="K77" i="8" s="1"/>
  <c r="J78" i="8"/>
  <c r="K78" i="8" s="1"/>
  <c r="J147" i="8"/>
  <c r="K147" i="8" s="1"/>
  <c r="J151" i="8"/>
  <c r="K151" i="8" s="1"/>
  <c r="J31" i="8"/>
  <c r="J141" i="8"/>
  <c r="K141" i="8" s="1"/>
  <c r="J142" i="8"/>
  <c r="J144" i="8"/>
  <c r="K144" i="8" s="1"/>
  <c r="J145" i="8"/>
  <c r="K145" i="8" s="1"/>
  <c r="J146" i="8"/>
  <c r="K146" i="8" s="1"/>
  <c r="J19" i="8"/>
  <c r="K19" i="8" s="1"/>
  <c r="J20" i="8"/>
  <c r="K20" i="8" s="1"/>
  <c r="J21" i="8"/>
  <c r="K21" i="8" s="1"/>
  <c r="J23" i="8"/>
  <c r="K23" i="8" s="1"/>
  <c r="J24" i="8"/>
  <c r="J33" i="8"/>
  <c r="J35" i="8"/>
  <c r="K35" i="8" s="1"/>
  <c r="J36" i="8"/>
  <c r="K36" i="8" s="1"/>
  <c r="J37" i="8"/>
  <c r="K37" i="8" s="1"/>
  <c r="J40" i="8"/>
  <c r="K40" i="8" s="1"/>
  <c r="J41" i="8"/>
  <c r="K41" i="8" s="1"/>
  <c r="J44" i="8"/>
  <c r="K44" i="8" s="1"/>
  <c r="J45" i="8"/>
  <c r="K45" i="8" s="1"/>
  <c r="J46" i="8"/>
  <c r="K46" i="8" s="1"/>
  <c r="J47" i="8"/>
  <c r="K47" i="8" s="1"/>
  <c r="J48" i="8"/>
  <c r="K48" i="8" s="1"/>
  <c r="J50" i="8"/>
  <c r="K50" i="8" s="1"/>
  <c r="J51" i="8"/>
  <c r="K51" i="8" s="1"/>
  <c r="J52" i="8"/>
  <c r="J53" i="8"/>
  <c r="J54" i="8"/>
  <c r="K54" i="8" s="1"/>
  <c r="J56" i="8"/>
  <c r="J58" i="8"/>
  <c r="K58" i="8" s="1"/>
  <c r="J60" i="8"/>
  <c r="J61" i="8"/>
  <c r="K61" i="8" s="1"/>
  <c r="J62" i="8"/>
  <c r="K62" i="8" s="1"/>
  <c r="J64" i="8"/>
  <c r="J69" i="8"/>
  <c r="K69" i="8" s="1"/>
  <c r="J70" i="8"/>
  <c r="J79" i="8"/>
  <c r="K79" i="8" s="1"/>
  <c r="J80" i="8"/>
  <c r="K80" i="8" s="1"/>
  <c r="J127" i="8"/>
  <c r="K127" i="8" s="1"/>
  <c r="J128" i="8"/>
  <c r="K128" i="8" s="1"/>
  <c r="J129" i="8"/>
  <c r="K129" i="8" s="1"/>
  <c r="J130" i="8"/>
  <c r="K130" i="8" s="1"/>
  <c r="J131" i="8"/>
  <c r="K131" i="8" s="1"/>
  <c r="J132" i="8"/>
  <c r="K132" i="8" s="1"/>
  <c r="J133" i="8"/>
  <c r="K133" i="8" s="1"/>
  <c r="J134" i="8"/>
  <c r="K134" i="8" s="1"/>
  <c r="J140" i="8"/>
  <c r="K140" i="8" s="1"/>
  <c r="J143" i="8"/>
  <c r="K143" i="8" s="1"/>
  <c r="J135" i="8"/>
  <c r="K135" i="8" s="1"/>
  <c r="J137" i="8"/>
  <c r="K137" i="8" s="1"/>
  <c r="J138" i="8"/>
  <c r="K138" i="8" s="1"/>
  <c r="J154" i="8"/>
  <c r="K154" i="8" s="1"/>
  <c r="J155" i="8"/>
  <c r="K155" i="8" s="1"/>
  <c r="J156" i="8"/>
  <c r="K156" i="8" s="1"/>
  <c r="J159" i="8"/>
  <c r="K159" i="8" s="1"/>
  <c r="J164" i="8"/>
  <c r="K164" i="8" s="1"/>
  <c r="J171" i="8"/>
  <c r="K171" i="8" s="1"/>
  <c r="J175" i="8"/>
  <c r="K175" i="8" s="1"/>
  <c r="J96" i="8"/>
  <c r="K96" i="8" s="1"/>
  <c r="J98" i="8"/>
  <c r="K98" i="8" s="1"/>
  <c r="J99" i="8"/>
  <c r="K99" i="8" s="1"/>
  <c r="J100" i="8"/>
  <c r="K100" i="8" s="1"/>
  <c r="J102" i="8"/>
  <c r="K102" i="8" s="1"/>
  <c r="J105" i="8"/>
  <c r="K105" i="8" s="1"/>
  <c r="J106" i="8"/>
  <c r="K106" i="8" s="1"/>
  <c r="J107" i="8"/>
  <c r="K107" i="8" s="1"/>
  <c r="J108" i="8"/>
  <c r="J109" i="8"/>
  <c r="K109" i="8" s="1"/>
  <c r="J110" i="8"/>
  <c r="K110" i="8" s="1"/>
  <c r="J111" i="8"/>
  <c r="K111" i="8" s="1"/>
  <c r="J112" i="8"/>
  <c r="K112" i="8" s="1"/>
  <c r="J113" i="8"/>
  <c r="K113" i="8" s="1"/>
  <c r="J114" i="8"/>
  <c r="K114" i="8" s="1"/>
  <c r="J118" i="8"/>
  <c r="K118" i="8" s="1"/>
  <c r="J119" i="8"/>
  <c r="K119" i="8" s="1"/>
  <c r="J121" i="8"/>
  <c r="K121" i="8" s="1"/>
  <c r="J124" i="8"/>
  <c r="K124" i="8" s="1"/>
  <c r="J176" i="8"/>
  <c r="K176" i="8" s="1"/>
  <c r="J177" i="8"/>
  <c r="K177" i="8" s="1"/>
  <c r="J178" i="8"/>
  <c r="K178" i="8" s="1"/>
  <c r="J179" i="8"/>
  <c r="K179" i="8" s="1"/>
  <c r="J180" i="8"/>
  <c r="K180" i="8" s="1"/>
  <c r="J181" i="8"/>
  <c r="K181" i="8" s="1"/>
  <c r="J182" i="8"/>
  <c r="K182" i="8" s="1"/>
  <c r="J183" i="8"/>
  <c r="K183" i="8" s="1"/>
  <c r="J184" i="8"/>
  <c r="K184" i="8" s="1"/>
  <c r="J185" i="8"/>
  <c r="K185" i="8" s="1"/>
  <c r="J186" i="8"/>
  <c r="K186" i="8" s="1"/>
  <c r="J188" i="8"/>
  <c r="K188" i="8" s="1"/>
  <c r="J189" i="8"/>
  <c r="K189" i="8" s="1"/>
  <c r="J190" i="8"/>
  <c r="K190" i="8" s="1"/>
  <c r="J191" i="8"/>
  <c r="K191" i="8" s="1"/>
  <c r="J192" i="8"/>
  <c r="K192" i="8" s="1"/>
  <c r="J193" i="8"/>
  <c r="K193" i="8" s="1"/>
  <c r="J194" i="8"/>
  <c r="K194" i="8" s="1"/>
  <c r="J195" i="8"/>
  <c r="K195" i="8" s="1"/>
  <c r="J196" i="8"/>
  <c r="K196" i="8" s="1"/>
  <c r="J197" i="8"/>
  <c r="K197" i="8" s="1"/>
  <c r="J198" i="8"/>
  <c r="K198" i="8" s="1"/>
  <c r="J199" i="8"/>
  <c r="K199" i="8" s="1"/>
  <c r="J200" i="8"/>
  <c r="K200" i="8" s="1"/>
  <c r="J201" i="8"/>
  <c r="K201" i="8" s="1"/>
  <c r="H2" i="8"/>
  <c r="E59" i="9"/>
  <c r="E18" i="9"/>
  <c r="E9" i="9"/>
  <c r="E56" i="9"/>
  <c r="E66" i="9"/>
  <c r="E67" i="9"/>
  <c r="E50" i="9"/>
  <c r="E65" i="9"/>
  <c r="E19" i="9"/>
  <c r="E21" i="9"/>
  <c r="E57" i="9"/>
  <c r="E25" i="9"/>
  <c r="E10" i="9"/>
  <c r="E63" i="9"/>
  <c r="E64" i="9"/>
  <c r="K91" i="8"/>
  <c r="E22" i="9"/>
  <c r="E61" i="9"/>
  <c r="E62" i="9"/>
  <c r="E26" i="9"/>
  <c r="E5" i="9"/>
  <c r="E28" i="9"/>
  <c r="E38" i="9"/>
  <c r="E39" i="9"/>
  <c r="E29" i="9"/>
  <c r="K87" i="8"/>
  <c r="E3" i="9"/>
  <c r="E6" i="9"/>
  <c r="E33" i="9"/>
  <c r="K158" i="8"/>
  <c r="E12" i="9"/>
  <c r="K160" i="8"/>
  <c r="E58" i="9"/>
  <c r="E17" i="9"/>
  <c r="K162" i="8"/>
  <c r="E60" i="9"/>
  <c r="E47" i="9"/>
  <c r="E31" i="9"/>
  <c r="E11" i="9"/>
  <c r="E37" i="9"/>
  <c r="E27" i="9"/>
  <c r="E20" i="9"/>
  <c r="E13" i="9"/>
  <c r="E55" i="9"/>
  <c r="E43" i="9"/>
  <c r="E24" i="9"/>
  <c r="K83" i="8"/>
  <c r="E34" i="9"/>
  <c r="E53" i="9"/>
  <c r="K167" i="8"/>
  <c r="E7" i="9"/>
  <c r="K97" i="8"/>
  <c r="E41" i="9"/>
  <c r="E36" i="9"/>
  <c r="E8" i="9"/>
  <c r="K161" i="8"/>
  <c r="E48" i="9"/>
  <c r="K163" i="8"/>
  <c r="E15" i="9"/>
  <c r="E23" i="9"/>
  <c r="K168" i="8"/>
  <c r="E40" i="9"/>
  <c r="K170" i="8"/>
  <c r="E46" i="9"/>
  <c r="K173" i="8"/>
  <c r="E45" i="9"/>
  <c r="E4" i="9"/>
  <c r="K120" i="8"/>
  <c r="E16" i="9"/>
  <c r="K157" i="8"/>
  <c r="E30" i="9"/>
  <c r="E14" i="9"/>
  <c r="E51" i="9"/>
  <c r="E35" i="9"/>
  <c r="K85" i="8"/>
  <c r="E52" i="9"/>
  <c r="E2" i="9"/>
  <c r="E54" i="9"/>
  <c r="D42" i="9"/>
  <c r="J202" i="1"/>
  <c r="K202" i="1"/>
  <c r="K95" i="8" l="1"/>
  <c r="K4" i="8"/>
  <c r="K16" i="8"/>
  <c r="K94" i="8"/>
  <c r="K172" i="8"/>
  <c r="J2" i="8"/>
  <c r="J202" i="8" s="1"/>
  <c r="K108" i="8"/>
  <c r="E3" i="10"/>
  <c r="K60" i="8"/>
  <c r="E8" i="10"/>
  <c r="K31" i="8"/>
  <c r="E9" i="10"/>
  <c r="K165" i="8"/>
  <c r="E4" i="10"/>
  <c r="K5" i="8"/>
  <c r="E5" i="10"/>
  <c r="K142" i="8"/>
  <c r="E13" i="10"/>
  <c r="E11" i="10"/>
  <c r="K56" i="8"/>
  <c r="E15" i="10"/>
  <c r="K84" i="8"/>
  <c r="E16" i="10"/>
  <c r="K70" i="8"/>
  <c r="E14" i="10"/>
  <c r="K24" i="8"/>
  <c r="E18" i="10"/>
  <c r="K26" i="8"/>
  <c r="E7" i="10"/>
  <c r="K53" i="8"/>
  <c r="E6" i="10"/>
  <c r="E32" i="9"/>
  <c r="E42" i="9"/>
  <c r="K33" i="8"/>
  <c r="E10" i="10"/>
  <c r="E44" i="9"/>
  <c r="K52" i="8"/>
  <c r="E2" i="10"/>
  <c r="E12" i="10"/>
  <c r="K64" i="8"/>
  <c r="E17" i="10"/>
  <c r="K3" i="8"/>
  <c r="E20" i="10" l="1"/>
  <c r="K2" i="8"/>
  <c r="K153" i="8"/>
  <c r="E19" i="10"/>
  <c r="K202" i="8" l="1" a="1"/>
  <c r="K20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<sst xmlns="http://schemas.openxmlformats.org/spreadsheetml/2006/main" count="1486" uniqueCount="434">
  <si>
    <t>ORD0001</t>
  </si>
  <si>
    <t>Buty trekkingowe</t>
  </si>
  <si>
    <t>Outdoor</t>
  </si>
  <si>
    <t>Empik Marketplace</t>
  </si>
  <si>
    <t>Poznań</t>
  </si>
  <si>
    <t>CUST4269</t>
  </si>
  <si>
    <t>Klient prywatny</t>
  </si>
  <si>
    <t>ORD0002</t>
  </si>
  <si>
    <t>Szampon</t>
  </si>
  <si>
    <t>Kosmetyki</t>
  </si>
  <si>
    <t>Amazon</t>
  </si>
  <si>
    <t>ORD0003</t>
  </si>
  <si>
    <t>ORD0004</t>
  </si>
  <si>
    <t>Allegro</t>
  </si>
  <si>
    <t>Gdańsk</t>
  </si>
  <si>
    <t>51-418</t>
  </si>
  <si>
    <t>ORD0005</t>
  </si>
  <si>
    <t>Warszawa</t>
  </si>
  <si>
    <t>CUST1402</t>
  </si>
  <si>
    <t>ORD0006</t>
  </si>
  <si>
    <t>Kraków</t>
  </si>
  <si>
    <t>ORD0007</t>
  </si>
  <si>
    <t>Powerbank</t>
  </si>
  <si>
    <t>Elektronika</t>
  </si>
  <si>
    <t>ORD0008</t>
  </si>
  <si>
    <t>76-367</t>
  </si>
  <si>
    <t>ORD0009</t>
  </si>
  <si>
    <t>Bidon</t>
  </si>
  <si>
    <t>CUST2762</t>
  </si>
  <si>
    <t>Home office</t>
  </si>
  <si>
    <t>ORD0010</t>
  </si>
  <si>
    <t>Wrocław</t>
  </si>
  <si>
    <t>ORD0011</t>
  </si>
  <si>
    <t>Shopify</t>
  </si>
  <si>
    <t>49-873</t>
  </si>
  <si>
    <t>ORD0012</t>
  </si>
  <si>
    <t>CUST7265</t>
  </si>
  <si>
    <t>ORD0013</t>
  </si>
  <si>
    <t>ORD0014</t>
  </si>
  <si>
    <t>ORD0015</t>
  </si>
  <si>
    <t>Świeca zapachowa</t>
  </si>
  <si>
    <t>Home</t>
  </si>
  <si>
    <t>99-786</t>
  </si>
  <si>
    <t>ORD0016</t>
  </si>
  <si>
    <t>CUST9351</t>
  </si>
  <si>
    <t>ORD0017</t>
  </si>
  <si>
    <t>83-816</t>
  </si>
  <si>
    <t>ORD0018</t>
  </si>
  <si>
    <t>29-834</t>
  </si>
  <si>
    <t>CUST9834</t>
  </si>
  <si>
    <t>ORD0019</t>
  </si>
  <si>
    <t>51-623</t>
  </si>
  <si>
    <t>CUST5218</t>
  </si>
  <si>
    <t>ORD0020</t>
  </si>
  <si>
    <t>ORD0021</t>
  </si>
  <si>
    <t>62-341</t>
  </si>
  <si>
    <t>CUST4001</t>
  </si>
  <si>
    <t>ORD0022</t>
  </si>
  <si>
    <t>ORD0023</t>
  </si>
  <si>
    <t>41-436</t>
  </si>
  <si>
    <t>CUST7722</t>
  </si>
  <si>
    <t>ORD0024</t>
  </si>
  <si>
    <t>ORD0025</t>
  </si>
  <si>
    <t>ORD0026</t>
  </si>
  <si>
    <t>Krem do twarzy</t>
  </si>
  <si>
    <t>CUST4965</t>
  </si>
  <si>
    <t>ORD0027</t>
  </si>
  <si>
    <t>ORD0028</t>
  </si>
  <si>
    <t>ORD0029</t>
  </si>
  <si>
    <t>10-385</t>
  </si>
  <si>
    <t>CUST8225</t>
  </si>
  <si>
    <t>ORD0030</t>
  </si>
  <si>
    <t>ORD0031</t>
  </si>
  <si>
    <t>ORD0032</t>
  </si>
  <si>
    <t>ORD0033</t>
  </si>
  <si>
    <t>ORD0034</t>
  </si>
  <si>
    <t>89-270</t>
  </si>
  <si>
    <t>CUST8883</t>
  </si>
  <si>
    <t>ORD0035</t>
  </si>
  <si>
    <t>ORD0036</t>
  </si>
  <si>
    <t>ORD0037</t>
  </si>
  <si>
    <t>95-229</t>
  </si>
  <si>
    <t>CUST5826</t>
  </si>
  <si>
    <t>ORD0038</t>
  </si>
  <si>
    <t>ORD0039</t>
  </si>
  <si>
    <t>ORD0040</t>
  </si>
  <si>
    <t>63-661</t>
  </si>
  <si>
    <t>CUST9657</t>
  </si>
  <si>
    <t>ORD0041</t>
  </si>
  <si>
    <t>ORD0042</t>
  </si>
  <si>
    <t>40-121</t>
  </si>
  <si>
    <t>CUST7044</t>
  </si>
  <si>
    <t>ORD0043</t>
  </si>
  <si>
    <t>ORD0044</t>
  </si>
  <si>
    <t>ORD0045</t>
  </si>
  <si>
    <t>16-637</t>
  </si>
  <si>
    <t>CUST3822</t>
  </si>
  <si>
    <t>ORD0046</t>
  </si>
  <si>
    <t>ORD0047</t>
  </si>
  <si>
    <t>ORD0048</t>
  </si>
  <si>
    <t>36-839</t>
  </si>
  <si>
    <t>CUST1092</t>
  </si>
  <si>
    <t>ORD0049</t>
  </si>
  <si>
    <t>ORD0050</t>
  </si>
  <si>
    <t>ORD0051</t>
  </si>
  <si>
    <t>ORD0052</t>
  </si>
  <si>
    <t>14-446</t>
  </si>
  <si>
    <t>CUST8570</t>
  </si>
  <si>
    <t>ORD0053</t>
  </si>
  <si>
    <t>ORD0054</t>
  </si>
  <si>
    <t>ORD0055</t>
  </si>
  <si>
    <t>50-609</t>
  </si>
  <si>
    <t>CUST6257</t>
  </si>
  <si>
    <t>ORD0056</t>
  </si>
  <si>
    <t>ORD0057</t>
  </si>
  <si>
    <t>ORD0058</t>
  </si>
  <si>
    <t>ORD0059</t>
  </si>
  <si>
    <t>ORD0060</t>
  </si>
  <si>
    <t>62-419</t>
  </si>
  <si>
    <t>CUST4999</t>
  </si>
  <si>
    <t>ORD0061</t>
  </si>
  <si>
    <t>ORD0062</t>
  </si>
  <si>
    <t>ORD0063</t>
  </si>
  <si>
    <t>62-455</t>
  </si>
  <si>
    <t>CUST6209</t>
  </si>
  <si>
    <t>ORD0064</t>
  </si>
  <si>
    <t>ORD0065</t>
  </si>
  <si>
    <t>ORD0066</t>
  </si>
  <si>
    <t>ORD0067</t>
  </si>
  <si>
    <t>ORD0068</t>
  </si>
  <si>
    <t>58-674</t>
  </si>
  <si>
    <t>CUST1466</t>
  </si>
  <si>
    <t>ORD0069</t>
  </si>
  <si>
    <t>ORD0070</t>
  </si>
  <si>
    <t>ORD0071</t>
  </si>
  <si>
    <t>ORD0072</t>
  </si>
  <si>
    <t>71-810</t>
  </si>
  <si>
    <t>CUST1571</t>
  </si>
  <si>
    <t>ORD0073</t>
  </si>
  <si>
    <t>68-417</t>
  </si>
  <si>
    <t>ORD0074</t>
  </si>
  <si>
    <t>ORD0075</t>
  </si>
  <si>
    <t>49-838</t>
  </si>
  <si>
    <t>CUST6101</t>
  </si>
  <si>
    <t>ORD0076</t>
  </si>
  <si>
    <t>ORD0077</t>
  </si>
  <si>
    <t>ORD0078</t>
  </si>
  <si>
    <t>ORD0079</t>
  </si>
  <si>
    <t>ORD0080</t>
  </si>
  <si>
    <t>75-115</t>
  </si>
  <si>
    <t>ORD0081</t>
  </si>
  <si>
    <t>CUST3289</t>
  </si>
  <si>
    <t>ORD0082</t>
  </si>
  <si>
    <t>ORD0083</t>
  </si>
  <si>
    <t>98-675</t>
  </si>
  <si>
    <t>CUST4653</t>
  </si>
  <si>
    <t>ORD0084</t>
  </si>
  <si>
    <t>ORD0085</t>
  </si>
  <si>
    <t>ORD0086</t>
  </si>
  <si>
    <t>ORD0087</t>
  </si>
  <si>
    <t>ORD0088</t>
  </si>
  <si>
    <t>41-954</t>
  </si>
  <si>
    <t>CUST3437</t>
  </si>
  <si>
    <t>ORD0089</t>
  </si>
  <si>
    <t>ORD0090</t>
  </si>
  <si>
    <t>28-287</t>
  </si>
  <si>
    <t>CUST4533</t>
  </si>
  <si>
    <t>ORD0091</t>
  </si>
  <si>
    <t>ORD0092</t>
  </si>
  <si>
    <t>ORD0093</t>
  </si>
  <si>
    <t>ORD0094</t>
  </si>
  <si>
    <t>ORD0095</t>
  </si>
  <si>
    <t>63-642</t>
  </si>
  <si>
    <t>CUST4479</t>
  </si>
  <si>
    <t>ORD0096</t>
  </si>
  <si>
    <t>ORD0097</t>
  </si>
  <si>
    <t>ORD0098</t>
  </si>
  <si>
    <t>CUST7053</t>
  </si>
  <si>
    <t>ORD0099</t>
  </si>
  <si>
    <t>ORD0100</t>
  </si>
  <si>
    <t>ORD0101</t>
  </si>
  <si>
    <t>ORD0102</t>
  </si>
  <si>
    <t>39-844</t>
  </si>
  <si>
    <t>CUST3810</t>
  </si>
  <si>
    <t>ORD0103</t>
  </si>
  <si>
    <t>ORD0104</t>
  </si>
  <si>
    <t>ORD0105</t>
  </si>
  <si>
    <t>ORD0106</t>
  </si>
  <si>
    <t>ORD0107</t>
  </si>
  <si>
    <t>20-651</t>
  </si>
  <si>
    <t>CUST6724</t>
  </si>
  <si>
    <t>ORD0108</t>
  </si>
  <si>
    <t>ORD0109</t>
  </si>
  <si>
    <t>ORD0110</t>
  </si>
  <si>
    <t>ORD0111</t>
  </si>
  <si>
    <t>84-148</t>
  </si>
  <si>
    <t>ORD0112</t>
  </si>
  <si>
    <t>ORD0113</t>
  </si>
  <si>
    <t>ORD0114</t>
  </si>
  <si>
    <t>14-231</t>
  </si>
  <si>
    <t>CUST1876</t>
  </si>
  <si>
    <t>ORD0115</t>
  </si>
  <si>
    <t>ORD0116</t>
  </si>
  <si>
    <t>ORD0117</t>
  </si>
  <si>
    <t>ORD0118</t>
  </si>
  <si>
    <t>ORD0119</t>
  </si>
  <si>
    <t>93-590</t>
  </si>
  <si>
    <t>CUST8574</t>
  </si>
  <si>
    <t>ORD0120</t>
  </si>
  <si>
    <t>Kubek</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</si>
  <si>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</si>
  <si>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</si>
  <si>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</si>
  <si>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</si>
  <si>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</si>
  <si>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</si>
  <si>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</si>
  <si>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</si>
  <si>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</si>
  <si>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</si>
  <si>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</si>
  <si>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</si>
  <si>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</si>
  <si>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</si>
  <si>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</si>
  <si>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</si>
  <si>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</si>
  <si>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</si>
  <si>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</si>
  <si>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</si>
  <si>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</si>
  <si>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</si>
  <si>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</si>
  <si>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</si>
  <si>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</si>
  <si>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</si>
  <si>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</si>
  <si>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</si>
  <si>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</si>
  <si>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</si>
  <si>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</si>
  <si>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</si>
  <si>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</si>
  <si>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</si>
  <si>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</si>
  <si>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</si>
  <si>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</si>
  <si>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</si>
  <si>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</si>
  <si>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</si>
  <si>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</si>
  <si>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</si>
  <si>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</si>
  <si>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</si>
  <si>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</si>
  <si>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</si>
  <si>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</si>
  <si>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</si>
  <si>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</si>
  <si>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</si>
  <si>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</si>
  <si>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</si>
  <si>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</si>
  <si>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</si>
  <si>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</si>
  <si>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</si>
  <si>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</si>
  <si>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</si>
  <si>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</si>
  <si>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</si>
  <si>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</si>
  <si>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</si>
  <si>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</si>
  <si>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</si>
  <si>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</si>
  <si>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</si>
  <si>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</si>
  <si>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</si>
  <si>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</si>
  <si>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</si>
  <si>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</si>
  <si>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</si>
  <si>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</si>
  <si>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</si>
  <si>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</si>
  <si>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</si>
  <si>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</si>
  <si>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</si>
  <si>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</si>
  <si>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</si>
  <si>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38-717</t>
  </si>
  <si>
    <t>CUST4198</t>
  </si>
  <si>
    <t>30-804</t>
  </si>
  <si>
    <t>CUST3552</t>
  </si>
  <si>
    <t>73-286</t>
  </si>
  <si>
    <t>CUST8430</t>
  </si>
  <si>
    <t>Łódź</t>
  </si>
  <si>
    <t>39-111</t>
  </si>
  <si>
    <t>CUST4886</t>
  </si>
  <si>
    <t>66-456</t>
  </si>
  <si>
    <t>CUST3365</t>
  </si>
  <si>
    <t>55-926</t>
  </si>
  <si>
    <t>CUST5776</t>
  </si>
  <si>
    <t>67-206</t>
  </si>
  <si>
    <t>CUST2763</t>
  </si>
  <si>
    <t>97-540</t>
  </si>
  <si>
    <t>CUST3324</t>
  </si>
  <si>
    <t>64-623</t>
  </si>
  <si>
    <t>CUST6309</t>
  </si>
  <si>
    <t>43-757</t>
  </si>
  <si>
    <t>CUST4573</t>
  </si>
  <si>
    <t>99-499</t>
  </si>
  <si>
    <t>CUST5339</t>
  </si>
  <si>
    <t>54-934</t>
  </si>
  <si>
    <t>CUST6342</t>
  </si>
  <si>
    <t>82-255</t>
  </si>
  <si>
    <t>CUST2395</t>
  </si>
  <si>
    <t>62-719</t>
  </si>
  <si>
    <t>CUST6916</t>
  </si>
  <si>
    <t>69-481</t>
  </si>
  <si>
    <t>CUST4545</t>
  </si>
  <si>
    <t>31-910</t>
  </si>
  <si>
    <t>CUST1668</t>
  </si>
  <si>
    <t>66-502</t>
  </si>
  <si>
    <t>CUST2161</t>
  </si>
  <si>
    <t>85-624</t>
  </si>
  <si>
    <t>CUST9917</t>
  </si>
  <si>
    <t>93-845</t>
  </si>
  <si>
    <t>CUST3536</t>
  </si>
  <si>
    <t>21-278</t>
  </si>
  <si>
    <t>CUST1476</t>
  </si>
  <si>
    <t>23-191</t>
  </si>
  <si>
    <t>CUST4579</t>
  </si>
  <si>
    <t>72-337</t>
  </si>
  <si>
    <t>CUST6077</t>
  </si>
  <si>
    <t>80-521</t>
  </si>
  <si>
    <t>CUST7768</t>
  </si>
  <si>
    <t>20-973</t>
  </si>
  <si>
    <t>CUST1505</t>
  </si>
  <si>
    <t>16-291</t>
  </si>
  <si>
    <t>CUST9433</t>
  </si>
  <si>
    <t>30-127</t>
  </si>
  <si>
    <t>CUST9332</t>
  </si>
  <si>
    <t>73-544</t>
  </si>
  <si>
    <t>CUST6247</t>
  </si>
  <si>
    <t>48-228</t>
  </si>
  <si>
    <t>CUST3314</t>
  </si>
  <si>
    <t>18-541</t>
  </si>
  <si>
    <t>CUST8117</t>
  </si>
  <si>
    <t>69-566</t>
  </si>
  <si>
    <t>CUST3771</t>
  </si>
  <si>
    <t>11-765</t>
  </si>
  <si>
    <t>CUST2870</t>
  </si>
  <si>
    <t>81-617</t>
  </si>
  <si>
    <t>CUST1956</t>
  </si>
  <si>
    <t>Etykiety wierszy</t>
  </si>
  <si>
    <t>Suma końcowa</t>
  </si>
  <si>
    <t>Poduszka dekoracyjna</t>
  </si>
  <si>
    <t>Wazon szklany</t>
  </si>
  <si>
    <t>Klawiatura</t>
  </si>
  <si>
    <t>Myszka</t>
  </si>
  <si>
    <t>Głośnik</t>
  </si>
  <si>
    <t>Serum</t>
  </si>
  <si>
    <t>Paleta cieni</t>
  </si>
  <si>
    <t>Olejek</t>
  </si>
  <si>
    <t>Żel pod prysznic</t>
  </si>
  <si>
    <t>Namiot</t>
  </si>
  <si>
    <t>Śpiwór</t>
  </si>
  <si>
    <t>Latarka</t>
  </si>
  <si>
    <t>Zniżka (Discount)</t>
  </si>
  <si>
    <t>Zysk brutto
(Gross profit)</t>
  </si>
  <si>
    <t>Marża (Margin)</t>
  </si>
  <si>
    <t>ID zamów. (Order ID)</t>
  </si>
  <si>
    <t>Data zamów. (Order date)</t>
  </si>
  <si>
    <t>Produkt (Product)</t>
  </si>
  <si>
    <t>Kanał sprzedaży (Marketplace)</t>
  </si>
  <si>
    <t>Miasto (City)</t>
  </si>
  <si>
    <t>Kod poczt. (Postcode)</t>
  </si>
  <si>
    <t>Ilość (Quant.)</t>
  </si>
  <si>
    <t>ID klienta (Client ID)</t>
  </si>
  <si>
    <t>Klient (Client)</t>
  </si>
  <si>
    <t>Cena jedn. (Price unit)</t>
  </si>
  <si>
    <t>Przychód brutto (Revenue)</t>
  </si>
  <si>
    <t>Koszty (COGS)</t>
  </si>
  <si>
    <t>Kategoria (Category</t>
  </si>
  <si>
    <t>Sektor (Sector)</t>
  </si>
  <si>
    <t>Data pierw. zam. (First time ord.)</t>
  </si>
  <si>
    <t>Min. cena (Min. price)</t>
  </si>
  <si>
    <t>Średnia marża (Average margin)</t>
  </si>
  <si>
    <t>Wart. żyć. (LTV Revenue)</t>
  </si>
  <si>
    <t>Wart. żyć. (LTV Gross profit)</t>
  </si>
  <si>
    <t>Kategoria (Category)</t>
  </si>
  <si>
    <t>Miesiąc (Month)</t>
  </si>
  <si>
    <t>Kwartał (Quarter)</t>
  </si>
  <si>
    <t>Miesiąc (Month)2</t>
  </si>
  <si>
    <t>Kat. marży (Margin category)</t>
  </si>
  <si>
    <t>Prowizje platform</t>
  </si>
  <si>
    <t>Prowizja (Commission)</t>
  </si>
  <si>
    <t>Zakres danych</t>
  </si>
  <si>
    <t>Dane obejmują okres styczeń-grudzień 2025</t>
  </si>
  <si>
    <t>Brak uwzględnienia kosztów operacyjnych (wysyłka, magazyn, marketing)</t>
  </si>
  <si>
    <t>Dane cenowe</t>
  </si>
  <si>
    <t>Ceny sprzedaży generowane losowo jako cena minimalna + 0-40% narzutu</t>
  </si>
  <si>
    <t>Zniżki generowane losowo</t>
  </si>
  <si>
    <t>Stały COGS dla każdego produktu podany w tabeli Product Lookup</t>
  </si>
  <si>
    <t>Definicje wskaźników</t>
  </si>
  <si>
    <t>Marża = zysk brutto / przychód brutto</t>
  </si>
  <si>
    <t>LTV (Revenue) = suma przychodu brutto ze wszystkich zamówień klienta</t>
  </si>
  <si>
    <t>LTV (Gross Profit) = suma zysku brutto ze wszystkich zamówień klienta</t>
  </si>
  <si>
    <t>Zysk brutto = przychód brutto - (COGS × ilość) - prowizja platformy</t>
  </si>
  <si>
    <t>Ceny minimalne ustalone jako COGS×100/45 dla kategorii kosmetyki, ×100/55 dla home, ×100/70 dla outdoor, ×100/92 dla elektroniki - gwarancja minimalnej marży odpowiednio ~55%, ~45%, ~30%, ~8%</t>
  </si>
  <si>
    <t xml:space="preserve">źródło: oparte o orientacyjne stawki rynkowe (maj 2026), zmodyfikowane w celu zróżnicowania wyników analizy. </t>
  </si>
  <si>
    <t>Średnia marża</t>
  </si>
  <si>
    <t>Suma przychodów brutto</t>
  </si>
  <si>
    <t>Suma zysków brutto</t>
  </si>
  <si>
    <t>Ilość</t>
  </si>
  <si>
    <t>Udział w przychodzie</t>
  </si>
  <si>
    <t>Miasto</t>
  </si>
  <si>
    <t>styczeń</t>
  </si>
  <si>
    <t>luty</t>
  </si>
  <si>
    <t>marzec</t>
  </si>
  <si>
    <t>kwiecień</t>
  </si>
  <si>
    <t>maj</t>
  </si>
  <si>
    <t>czerwiec</t>
  </si>
  <si>
    <t>lipiec</t>
  </si>
  <si>
    <t>sierpień</t>
  </si>
  <si>
    <t>wrzesień</t>
  </si>
  <si>
    <t>październik</t>
  </si>
  <si>
    <t>listopad</t>
  </si>
  <si>
    <t>grudzień</t>
  </si>
  <si>
    <t>Przychód brutto</t>
  </si>
  <si>
    <t>Zysk brutto</t>
  </si>
  <si>
    <t>AOV</t>
  </si>
  <si>
    <r>
      <t xml:space="preserve">W analizowanym okresie (styczeń-grudzień 2025) sklep MultiShop wygenerował łączny przychód brutto 88 707 zł przy zysku brutto 27 503 zł i średniej marży 38,21%. Średnia wartość zamówienia (AOV) wyniosła około 444 zł. Kategorią o najwyższym zysku bezwzględnym był Outdoor (19 439 zł), natomiast najwyższą efektywność kosztową osiągnęła kategoria Kosmetyki (marża 54%).
</t>
    </r>
    <r>
      <rPr>
        <b/>
        <u/>
        <sz val="11"/>
        <color theme="1"/>
        <rFont val="Calibri"/>
        <family val="2"/>
        <scheme val="minor"/>
      </rPr>
      <t>Kanały sprzedaży</t>
    </r>
    <r>
      <rPr>
        <sz val="11"/>
        <color theme="1"/>
        <rFont val="Calibri"/>
        <family val="2"/>
        <scheme val="minor"/>
      </rPr>
      <t xml:space="preserve">
Mimo że Empik Marketplace osiąga najwyższy przychód brutto, Allegro generuje wyższy zysk dzięki niższej prowizji platformy (8% vs 10%). Shopify przy najmniejszym wolumenie sprzedaży utrzymuje najwyższą marżę (47%) co sugeruje, że rozwój własnego kanału sprzedaży byłby strategicznie korzystny dla rentowności biznesu. Amazon wykazuje najmniej korzystny profil spośród wszystkich kanałów – trzeci wynik pod względem wolumenu sprzedaży (140 sztuk) przy jednocześnie najniższej marży (33%). Wyniki sugerują potrzebę weryfikacji opłacalności kanału lub/i rozważenie ograniczenia asortymentu do kategorii produktów o najwyższej marży (kosmetyki, home).
</t>
    </r>
    <r>
      <rPr>
        <b/>
        <u/>
        <sz val="11"/>
        <color theme="1"/>
        <rFont val="Calibri"/>
        <family val="2"/>
        <scheme val="minor"/>
      </rPr>
      <t>Kategorie produktów</t>
    </r>
    <r>
      <rPr>
        <sz val="11"/>
        <color theme="1"/>
        <rFont val="Calibri"/>
        <family val="2"/>
        <scheme val="minor"/>
      </rPr>
      <t xml:space="preserve">
Outdoor generuje najwyższy zysk bezwzględny, dzięki największemu wolumenowi sprzedaży (214 sztuk) i przychodowi brutto. Mimo niewysokiej marży skala sprzedaży przekłada się na solidny wynik. Kosmetyki to najbardziej efektywna kosztowo kategoria, gdzie ponad połowa przychodu staje się zyskiem. Home przy najniższym wolumenie (78 sztuk) utrzymuje wysoką marżę, generując proporcjonalnie dobry wynik. Elektronika wypada najsłabiej. Mimo wysokiego przychodu brutto zysk jest najniższy, co wynika z wysokich COGSów i prowizji platform. Wyniki sugerują potrzebę weryfikacji opłacalności – rozważenie wycofania jej z kanałów o najwyższych prowizjach oraz zastosowanie mechanizmów zwiększających wartość koszyka, np. promocji wielosztukowych, które pozwoliłyby rozłożyć stałe koszty na większą liczbę jednostek w zamówieniu.
</t>
    </r>
    <r>
      <rPr>
        <b/>
        <u/>
        <sz val="11"/>
        <color theme="1"/>
        <rFont val="Calibri"/>
        <family val="2"/>
        <scheme val="minor"/>
      </rPr>
      <t>Geografia</t>
    </r>
    <r>
      <rPr>
        <sz val="11"/>
        <color theme="1"/>
        <rFont val="Calibri"/>
        <family val="2"/>
        <scheme val="minor"/>
      </rPr>
      <t xml:space="preserve">
Warszawa dominuje pod względem wolumenu zamówień (171 sztuk) i przychodu brutto (20 497 zł), odpowiadając za 23% całkowitego przychodu. Wrocław zajmuje drugą pozycję z przychodem 19 745 zł i udziałem 20%, jednak przy znacznie niższym wolumenie (89 sztuk), co oznacza że średnia wartość zamówienia we Wrocławiu jest wyraźnie wyższa niż w Warszawie. Gdańsk, Poznań i Kraków generują zbliżone wyniki zarówno pod względem wolumenu jak i przychodu, tworząc środkowy segment bez wyraźnego lidera. Łódź wypada najsłabiej – 38 zamówień i 6% udziału w przychodzie. To może wskazywać na niższe nasycenie rynku lub słabszą widoczność oferty w tym mieście – warto rozważyć zbadanie widoczności oferty i kampanie targetowane geograficznie.
</t>
    </r>
    <r>
      <rPr>
        <b/>
        <u/>
        <sz val="11"/>
        <color theme="1"/>
        <rFont val="Calibri"/>
        <family val="2"/>
        <scheme val="minor"/>
      </rPr>
      <t>Trend miesięczny</t>
    </r>
    <r>
      <rPr>
        <sz val="11"/>
        <color theme="1"/>
        <rFont val="Calibri"/>
        <family val="2"/>
        <scheme val="minor"/>
      </rPr>
      <t xml:space="preserve">
Przychód i zysk wykazują wyraźną sezonowość w ciągu roku. Pierwsze szczyty sprzedażowe przypadają na luty (walentynki) i maj. Sprzedaż w maju  prawdopodobnie napędzana jest przez wzmożony popyt na produkty outdoorowe wraz z nadejściem sezonu wiosenno-letniego. Letnie miesiące przynoszą spadek aktywności zakupowej. Wyraźne odbicie następuje od września, a szczyt roku przypada na listopad-grudzień. Okres przedświąteczny i Black Friday generują najwyższe przychody i zyski w całym roku, z grudniem jako bezwzględnym liderem (12 383 zł przychodu, 3 872 zł zysku). Dane historyczne sugerują, że zwiększenie stanów magazynowych przed majem oraz przed czwartym kwartałem mogłoby przynieść wymierne korzyści.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</si>
</sst>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zł&quot;;[Red]\-#,##0\ &quot;zł&quot;"/>
    <numFmt numFmtId="165" formatCode="#,##0.00\ &quot;zł&quot;;[Red]\-#,##0.00\ &quot;zł&quot;"/>
  </numFmts>
  <fonts count="12" x14ac:knownFonts="1">
    <font>
      <sz val="11"/>
      <color theme="1"/>
      <name val="Calibri"/>
      <family val="2"/>
      <scheme val="minor"/>
    </font>
    <font>
      <sz val="8"/>
      <name val="Calibri"/>
      <family val="2"/>
      <scheme val="minor"/>
    </font>
    <font>
      <b/>
      <sz val="11"/>
      <color theme="1"/>
      <name val="Calibri"/>
      <family val="2"/>
      <charset val="238"/>
      <scheme val="minor"/>
    </font>
    <font>
      <sz val="11"/>
      <color theme="0"/>
      <name val="Calibri"/>
      <family val="2"/>
      <charset val="238"/>
      <scheme val="minor"/>
    </font>
    <font>
      <sz val="11"/>
      <color theme="0"/>
      <name val="Calibri"/>
      <family val="2"/>
      <scheme val="minor"/>
    </font>
    <font>
      <b/>
      <sz val="11"/>
      <color theme="0"/>
      <name val="Calibri"/>
      <family val="2"/>
      <charset val="238"/>
      <scheme val="minor"/>
    </font>
    <font>
      <sz val="11"/>
      <name val="Calibri"/>
      <family val="2"/>
      <charset val="238"/>
      <scheme val="minor"/>
    </font>
    <font>
      <sz val="11"/>
      <color theme="1"/>
      <name val="Calibri"/>
      <family val="2"/>
      <scheme val="minor"/>
    </font>
    <font>
      <b/>
      <sz val="11"/>
      <color theme="0"/>
      <name val="Calibri"/>
      <family val="2"/>
      <scheme val="minor"/>
    </font>
    <font>
      <i/>
      <sz val="10"/>
      <color theme="1"/>
      <name val="Calibri"/>
      <family val="2"/>
      <charset val="238"/>
      <scheme val="minor"/>
    </font>
    <font>
      <b/>
      <sz val="11"/>
      <color theme="1"/>
      <name val="Calibri"/>
      <family val="2"/>
      <scheme val="minor"/>
    </font>
    <font>
      <b/>
      <u/>
      <sz val="11"/>
      <color theme="1"/>
      <name val="Calibri"/>
      <family val="2"/>
      <scheme val="minor"/>
    </font>
  </fonts>
  <fills count="9">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0"/>
        <bgColor theme="0" tint="-0.14999847407452621"/>
      </patternFill>
    </fill>
    <fill>
      <patternFill patternType="solid">
        <fgColor theme="1"/>
        <bgColor indexed="64"/>
      </patternFill>
    </fill>
    <fill>
      <patternFill patternType="solid">
        <fgColor theme="1"/>
        <bgColor theme="1"/>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2">
    <xf numFmtId="0" fontId="0" fillId="0" borderId="0"/>
    <xf numFmtId="9" fontId="7" fillId="0" borderId="0" applyFont="0" applyFill="0" applyBorder="0" applyAlignment="0" applyProtection="0"/>
  </cellStyleXfs>
  <cellXfs count="5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vertical="center" wrapText="1"/>
    </xf>
    <xf numFmtId="0" fontId="4" fillId="0" borderId="0" xfId="0" applyFont="1"/>
    <xf numFmtId="0" fontId="0" fillId="0" borderId="0" xfId="0" applyAlignment="1">
      <alignment vertical="center"/>
    </xf>
    <xf numFmtId="165" fontId="0" fillId="0" borderId="0" xfId="0" applyNumberFormat="1" applyAlignment="1">
      <alignment vertical="center"/>
    </xf>
    <xf numFmtId="0" fontId="0" fillId="0" borderId="0" xfId="0" applyAlignment="1">
      <alignment vertical="center" wrapText="1"/>
    </xf>
    <xf numFmtId="165" fontId="4" fillId="0" borderId="0" xfId="0" applyNumberFormat="1" applyFont="1" applyAlignment="1">
      <alignment vertical="center" wrapText="1"/>
    </xf>
    <xf numFmtId="0" fontId="6" fillId="0" borderId="0" xfId="0" applyFont="1" applyAlignment="1">
      <alignment vertical="center"/>
    </xf>
    <xf numFmtId="165" fontId="0" fillId="0" borderId="0" xfId="0" applyNumberFormat="1"/>
    <xf numFmtId="0" fontId="2" fillId="0" borderId="0" xfId="0" applyFont="1"/>
    <xf numFmtId="0" fontId="0" fillId="0" borderId="1" xfId="0" applyBorder="1" applyAlignment="1">
      <alignment vertical="center"/>
    </xf>
    <xf numFmtId="0" fontId="0" fillId="0" borderId="1" xfId="0" applyBorder="1" applyAlignment="1">
      <alignment horizontal="left" vertical="center" wrapText="1"/>
    </xf>
    <xf numFmtId="165" fontId="0" fillId="0" borderId="1" xfId="0" applyNumberFormat="1" applyBorder="1" applyAlignment="1">
      <alignment horizontal="left" vertical="center" wrapText="1"/>
    </xf>
    <xf numFmtId="0" fontId="5" fillId="2" borderId="1" xfId="0" applyFont="1" applyFill="1" applyBorder="1" applyAlignment="1">
      <alignment horizontal="left" vertical="center" wrapText="1"/>
    </xf>
    <xf numFmtId="0" fontId="0" fillId="3" borderId="1" xfId="0" applyFill="1" applyBorder="1"/>
    <xf numFmtId="0" fontId="0" fillId="4" borderId="1" xfId="0" applyFill="1" applyBorder="1" applyAlignment="1">
      <alignment vertical="center"/>
    </xf>
    <xf numFmtId="0" fontId="0" fillId="3" borderId="1" xfId="0" applyFill="1" applyBorder="1" applyAlignment="1">
      <alignment vertical="center"/>
    </xf>
    <xf numFmtId="0" fontId="5" fillId="5" borderId="1" xfId="0" applyFont="1" applyFill="1" applyBorder="1" applyAlignment="1">
      <alignment horizontal="left" vertical="center" wrapText="1"/>
    </xf>
    <xf numFmtId="14" fontId="0" fillId="3" borderId="1" xfId="0" applyNumberFormat="1" applyFill="1" applyBorder="1"/>
    <xf numFmtId="2" fontId="0" fillId="3" borderId="1" xfId="0" applyNumberFormat="1" applyFill="1" applyBorder="1"/>
    <xf numFmtId="10" fontId="0" fillId="0" borderId="0" xfId="0" applyNumberFormat="1" applyAlignment="1">
      <alignment vertical="center"/>
    </xf>
    <xf numFmtId="0" fontId="8" fillId="6" borderId="0" xfId="0" applyFont="1" applyFill="1" applyAlignment="1">
      <alignment horizontal="left" vertical="center" wrapText="1"/>
    </xf>
    <xf numFmtId="9" fontId="0" fillId="0" borderId="1" xfId="1" applyFont="1" applyBorder="1" applyAlignment="1">
      <alignment horizontal="left" vertical="center" wrapText="1"/>
    </xf>
    <xf numFmtId="0" fontId="0" fillId="0" borderId="2" xfId="0" applyBorder="1" applyAlignment="1">
      <alignment vertical="center"/>
    </xf>
    <xf numFmtId="14" fontId="0" fillId="0" borderId="2" xfId="0" applyNumberFormat="1" applyBorder="1" applyAlignment="1">
      <alignment vertical="center"/>
    </xf>
    <xf numFmtId="2" fontId="0" fillId="0" borderId="2" xfId="0" applyNumberFormat="1" applyBorder="1"/>
    <xf numFmtId="10" fontId="0" fillId="0" borderId="2" xfId="0" applyNumberFormat="1" applyBorder="1" applyAlignment="1">
      <alignment vertical="center"/>
    </xf>
    <xf numFmtId="165" fontId="0" fillId="0" borderId="2" xfId="0" applyNumberFormat="1" applyBorder="1" applyAlignment="1">
      <alignment vertical="center"/>
    </xf>
    <xf numFmtId="0" fontId="3" fillId="0" borderId="2" xfId="0" applyFont="1" applyBorder="1" applyAlignment="1">
      <alignment vertical="center"/>
    </xf>
    <xf numFmtId="165" fontId="3" fillId="0" borderId="2" xfId="0" applyNumberFormat="1" applyFont="1" applyBorder="1" applyAlignment="1">
      <alignment vertical="center"/>
    </xf>
    <xf numFmtId="10" fontId="3" fillId="0" borderId="2" xfId="0" applyNumberFormat="1" applyFont="1" applyBorder="1" applyAlignment="1">
      <alignment vertical="center"/>
    </xf>
    <xf numFmtId="1" fontId="3" fillId="0" borderId="2" xfId="0" applyNumberFormat="1" applyFont="1" applyBorder="1" applyAlignment="1">
      <alignment vertical="center"/>
    </xf>
    <xf numFmtId="9" fontId="0" fillId="0" borderId="1" xfId="1" applyFont="1" applyFill="1" applyBorder="1" applyAlignment="1">
      <alignment vertical="center"/>
    </xf>
    <xf numFmtId="165" fontId="4" fillId="0" borderId="0" xfId="0" applyNumberFormat="1" applyFont="1" applyAlignment="1">
      <alignment vertical="center"/>
    </xf>
    <xf numFmtId="0" fontId="4" fillId="0" borderId="0" xfId="0" applyFont="1" applyAlignment="1">
      <alignment vertical="center"/>
    </xf>
    <xf numFmtId="10" fontId="4" fillId="0" borderId="0" xfId="0" applyNumberFormat="1" applyFont="1" applyAlignment="1">
      <alignment vertical="center"/>
    </xf>
    <xf numFmtId="0" fontId="9" fillId="0" borderId="0" xfId="0" applyFont="1"/>
    <xf numFmtId="0" fontId="5" fillId="5" borderId="0" xfId="0" applyFont="1" applyFill="1" applyAlignment="1">
      <alignment vertical="center" wrapText="1"/>
    </xf>
    <xf numFmtId="0" fontId="2" fillId="0" borderId="0" xfId="0" applyFont="1" applyAlignment="1">
      <alignment vertical="center"/>
    </xf>
    <xf numFmtId="0" fontId="0" fillId="7" borderId="0" xfId="0" applyFill="1"/>
    <xf numFmtId="164" fontId="0" fillId="0" borderId="0" xfId="0" applyNumberFormat="1"/>
    <xf numFmtId="9" fontId="0" fillId="0" borderId="0" xfId="0" applyNumberFormat="1"/>
    <xf numFmtId="0" fontId="0" fillId="0" borderId="0" xfId="0" applyAlignment="1">
      <alignment horizontal="center"/>
    </xf>
    <xf numFmtId="0" fontId="2" fillId="8" borderId="0" xfId="0" applyFont="1" applyFill="1" applyAlignment="1">
      <alignment horizontal="center"/>
    </xf>
    <xf numFmtId="1" fontId="2" fillId="8" borderId="0" xfId="0" applyNumberFormat="1" applyFont="1" applyFill="1" applyAlignment="1">
      <alignment horizontal="center"/>
    </xf>
    <xf numFmtId="9" fontId="0" fillId="0" borderId="0" xfId="1" applyFont="1" applyAlignment="1">
      <alignment horizontal="center"/>
    </xf>
    <xf numFmtId="0" fontId="0" fillId="0" borderId="0" xfId="0" applyAlignment="1">
      <alignment horizontal="right"/>
    </xf>
    <xf numFmtId="0" fontId="10" fillId="0" borderId="0" xfId="0" applyFont="1" applyAlignment="1">
      <alignment horizontal="left"/>
    </xf>
    <xf numFmtId="0" fontId="0" fillId="3" borderId="0" xfId="0" applyFill="1"/>
    <xf numFmtId="0" fontId="0" fillId="3" borderId="0" xfId="0" applyFill="1" applyAlignment="1">
      <alignment horizontal="left" vertical="top" wrapText="1"/>
    </xf>
    <xf numFmtId="0" fontId="0" fillId="3" borderId="0" xfId="0" applyFill="1" applyAlignment="1">
      <alignment horizontal="left" vertical="top"/>
    </xf>
    <xf numFmtId="0" fontId="10" fillId="8" borderId="0" xfId="0" applyFont="1" applyFill="1" applyAlignment="1">
      <alignment horizontal="left" vertical="center"/>
    </xf>
    <xf numFmtId="164" fontId="0" fillId="0" borderId="0" xfId="0" applyNumberFormat="1" applyAlignment="1">
      <alignment horizontal="right" vertical="center"/>
    </xf>
    <xf numFmtId="1" fontId="0" fillId="0" borderId="0" xfId="0" applyNumberFormat="1" applyAlignment="1">
      <alignment horizontal="right" vertical="center"/>
    </xf>
    <xf numFmtId="10" fontId="0" fillId="0" borderId="0" xfId="1" applyNumberFormat="1" applyFont="1" applyAlignment="1">
      <alignment horizontal="right" vertical="center"/>
    </xf>
  </cellXfs>
  <cellStyles count="2">
    <cellStyle name="Normalny" xfId="0" builtinId="0"/>
    <cellStyle name="Procentowy" xfId="1" builtinId="5"/>
  </cellStyles>
  <dxfs count="61">
    <dxf>
      <numFmt numFmtId="164" formatCode="#,##0\ &quot;zł&quot;;[Red]\-#,##0\ &quot;zł&quot;"/>
    </dxf>
    <dxf>
      <numFmt numFmtId="13" formatCode="0%"/>
    </dxf>
    <dxf>
      <numFmt numFmtId="164" formatCode="#,##0\ &quot;zł&quot;;[Red]\-#,##0\ &quot;zł&quot;"/>
    </dxf>
    <dxf>
      <numFmt numFmtId="164" formatCode="#,##0\ &quot;zł&quot;;[Red]\-#,##0\ &quot;zł&quot;"/>
    </dxf>
    <dxf>
      <numFmt numFmtId="13" formatCode="0%"/>
    </dxf>
    <dxf>
      <numFmt numFmtId="164" formatCode="#,##0\ &quot;zł&quot;;[Red]\-#,##0\ &quot;zł&quot;"/>
    </dxf>
    <dxf>
      <numFmt numFmtId="164" formatCode="#,##0\ &quot;zł&quot;;[Red]\-#,##0\ &quot;zł&quot;"/>
    </dxf>
    <dxf>
      <font>
        <b val="0"/>
        <i val="0"/>
        <strike val="0"/>
        <condense val="0"/>
        <extend val="0"/>
        <outline val="0"/>
        <shadow val="0"/>
        <u val="none"/>
        <vertAlign val="baseline"/>
        <sz val="11"/>
        <color theme="0"/>
        <name val="Calibri"/>
        <family val="2"/>
        <scheme val="minor"/>
      </font>
    </dxf>
    <dxf>
      <numFmt numFmtId="0" formatCode="General"/>
    </dxf>
    <dxf>
      <font>
        <b val="0"/>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0"/>
        <name val="Calibri"/>
        <family val="2"/>
        <scheme val="minor"/>
      </font>
    </dxf>
    <dxf>
      <numFmt numFmtId="0" formatCode="General"/>
    </dxf>
    <dxf>
      <font>
        <b val="0"/>
        <i val="0"/>
        <strike val="0"/>
        <condense val="0"/>
        <extend val="0"/>
        <outline val="0"/>
        <shadow val="0"/>
        <u val="none"/>
        <vertAlign val="baseline"/>
        <sz val="11"/>
        <color theme="0"/>
        <name val="Calibri"/>
        <family val="2"/>
        <scheme val="minor"/>
      </font>
    </dxf>
    <dxf>
      <numFmt numFmtId="0" formatCode="General"/>
    </dxf>
    <dxf>
      <font>
        <b val="0"/>
        <i val="0"/>
        <strike val="0"/>
        <condense val="0"/>
        <extend val="0"/>
        <outline val="0"/>
        <shadow val="0"/>
        <u val="none"/>
        <vertAlign val="baseline"/>
        <sz val="11"/>
        <color theme="0"/>
        <name val="Calibri"/>
        <family val="2"/>
        <scheme val="minor"/>
      </font>
      <numFmt numFmtId="14" formatCode="0.00%"/>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65" formatCode="#,##0.00\ &quot;zł&quot;;[Red]\-#,##0.00\ &quot;zł&quot;"/>
      <alignment horizontal="general" vertical="center" textRotation="0" wrapText="0" indent="0" justifyLastLine="0" shrinkToFit="0" readingOrder="0"/>
    </dxf>
    <dxf>
      <numFmt numFmtId="165" formatCode="#,##0.00\ &quot;zł&quot;;[Red]\-#,##0.00\ &quot;zł&quo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65" formatCode="#,##0.00\ &quot;zł&quot;;[Red]\-#,##0.00\ &quot;zł&quo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00\ &quot;zł&quot;;[Red]\-#,##0.00\ &quot;zł&quo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theme="0"/>
        <name val="Calibri"/>
        <family val="2"/>
        <scheme val="minor"/>
      </font>
    </dxf>
    <dxf>
      <numFmt numFmtId="0" formatCode="General"/>
    </dxf>
    <dxf>
      <font>
        <strike val="0"/>
        <outline val="0"/>
        <shadow val="0"/>
        <u val="none"/>
        <vertAlign val="baseline"/>
        <sz val="11"/>
        <color theme="0"/>
        <name val="Calibri"/>
        <family val="2"/>
        <scheme val="minor"/>
      </font>
    </dxf>
    <dxf>
      <alignment horizontal="left" vertical="center" textRotation="0" indent="0" justifyLastLine="0" shrinkToFit="0" readingOrder="0"/>
    </dxf>
    <dxf>
      <font>
        <b val="0"/>
        <i val="0"/>
        <strike val="0"/>
        <condense val="0"/>
        <extend val="0"/>
        <outline val="0"/>
        <shadow val="0"/>
        <u val="none"/>
        <vertAlign val="baseline"/>
        <sz val="11"/>
        <color theme="0"/>
        <name val="Calibri"/>
        <family val="2"/>
        <charset val="238"/>
        <scheme val="minor"/>
      </font>
      <numFmt numFmtId="165" formatCode="#,##0.00\ &quot;zł&quot;;[Red]\-#,##0.00\ &quot;zł&quo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5" formatCode="#,##0.00\ &quot;zł&quot;;[Red]\-#,##0.00\ &quot;zł&quot;"/>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numFmt numFmtId="14" formatCode="0.00%"/>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4" formatCode="0.00%"/>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numFmt numFmtId="1" formatCode="0"/>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numFmt numFmtId="165" formatCode="#,##0.00\ &quot;zł&quot;;[Red]\-#,##0.00\ &quot;zł&quo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2" formatCode="0.00"/>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d/mm/yyyy"/>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charset val="238"/>
        <scheme val="minor"/>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1"/>
        <color theme="0"/>
        <name val="Calibri"/>
        <family val="2"/>
        <charset val="238"/>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s>
  <tableStyles count="0" defaultTableStyle="TableStyleMedium9" defaultPivotStyle="PivotStyleLight16"/>
  <colors>
    <mruColors>
      <color rgb="FF81DDEF"/>
      <color rgb="FF189DB8"/>
      <color rgb="FF218997"/>
      <color rgb="FF26A0B0"/>
      <color rgb="FF89D1DB"/>
      <color rgb="FF9FD6FF"/>
      <color rgb="FF216BFF"/>
      <color rgb="FF0041C4"/>
      <color rgb="FF97CDFF"/>
      <color rgb="FF75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 biznesowa.xlsx]Analiza (Analysis)!Tabela przestawna1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pl-PL" sz="1400" b="1">
                <a:solidFill>
                  <a:schemeClr val="tx1"/>
                </a:solidFill>
              </a:rPr>
              <a:t>Zysk, przychód i marża</a:t>
            </a:r>
            <a:r>
              <a:rPr lang="pl-PL" sz="1400" b="1" baseline="0">
                <a:solidFill>
                  <a:schemeClr val="tx1"/>
                </a:solidFill>
              </a:rPr>
              <a:t> wg kanału sprzedaży</a:t>
            </a:r>
            <a:endParaRPr lang="pl-PL" sz="1400" b="1">
              <a:solidFill>
                <a:schemeClr val="tx1"/>
              </a:solidFill>
            </a:endParaRPr>
          </a:p>
        </c:rich>
      </c:tx>
      <c:layout>
        <c:manualLayout>
          <c:xMode val="edge"/>
          <c:yMode val="edge"/>
          <c:x val="0.22648342870184709"/>
          <c:y val="4.9995892822037362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1000" b="1"/>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2"/>
        <c:spPr>
          <a:ln w="28575" cap="rnd">
            <a:solidFill>
              <a:srgbClr val="FFAB15"/>
            </a:solidFill>
            <a:round/>
          </a:ln>
          <a:effectLst/>
        </c:spPr>
        <c:marker>
          <c:symbol val="circle"/>
          <c:size val="5"/>
          <c:spPr>
            <a:solidFill>
              <a:srgbClr val="FFAB15"/>
            </a:solidFill>
            <a:ln w="15875">
              <a:solidFill>
                <a:srgbClr val="FFAB15"/>
              </a:solidFill>
            </a:ln>
            <a:effectLst/>
          </c:spPr>
        </c:marker>
        <c:dLbl>
          <c:idx val="0"/>
          <c:spPr>
            <a:noFill/>
            <a:ln>
              <a:noFill/>
            </a:ln>
            <a:effectLst>
              <a:softEdge rad="0"/>
            </a:effectLst>
          </c:spPr>
          <c:txPr>
            <a:bodyPr rot="0" spcFirstLastPara="1" vertOverflow="ellipsis" vert="horz" wrap="square" lIns="36000" tIns="19050" rIns="38100" bIns="19050" anchor="ctr" anchorCtr="1">
              <a:sp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dLbl>
          <c:idx val="0"/>
          <c:layout>
            <c:manualLayout>
              <c:x val="-8.2815734989648039E-3"/>
              <c:y val="3.5164827050889316E-2"/>
            </c:manualLayout>
          </c:layout>
          <c:spPr>
            <a:noFill/>
            <a:ln>
              <a:noFill/>
            </a:ln>
            <a:effectLst>
              <a:softEdge rad="0"/>
            </a:effectLst>
          </c:spPr>
          <c:txPr>
            <a:bodyPr rot="0" spcFirstLastPara="1" vertOverflow="ellipsis" vert="horz" wrap="square" lIns="36000" tIns="19050" rIns="38100" bIns="19050" anchor="ctr" anchorCtr="1">
              <a:sp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dLbl>
          <c:idx val="0"/>
          <c:layout>
            <c:manualLayout>
              <c:x val="-6.2111801242236402E-3"/>
              <c:y val="-3.8095229305130096E-2"/>
            </c:manualLayout>
          </c:layout>
          <c:spPr>
            <a:noFill/>
            <a:ln>
              <a:noFill/>
            </a:ln>
            <a:effectLst>
              <a:softEdge rad="0"/>
            </a:effectLst>
          </c:spPr>
          <c:txPr>
            <a:bodyPr rot="0" spcFirstLastPara="1" vertOverflow="ellipsis" vert="horz" wrap="square" lIns="36000" tIns="19050" rIns="38100" bIns="19050" anchor="ctr" anchorCtr="1">
              <a:no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dLbl>
          <c:idx val="0"/>
          <c:layout>
            <c:manualLayout>
              <c:x val="-1.0351966873706004E-2"/>
              <c:y val="-3.5164827050889372E-2"/>
            </c:manualLayout>
          </c:layout>
          <c:spPr>
            <a:noFill/>
            <a:ln>
              <a:noFill/>
            </a:ln>
            <a:effectLst>
              <a:softEdge rad="0"/>
            </a:effectLst>
          </c:spPr>
          <c:txPr>
            <a:bodyPr rot="0" spcFirstLastPara="1" vertOverflow="ellipsis" vert="horz" wrap="square" lIns="36000" tIns="19050" rIns="38100" bIns="19050" anchor="ctr" anchorCtr="1">
              <a:sp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dLbl>
          <c:idx val="0"/>
          <c:layout>
            <c:manualLayout>
              <c:x val="-1.035196687370608E-2"/>
              <c:y val="2.9304022542407659E-2"/>
            </c:manualLayout>
          </c:layout>
          <c:spPr>
            <a:noFill/>
            <a:ln>
              <a:noFill/>
            </a:ln>
            <a:effectLst>
              <a:softEdge rad="0"/>
            </a:effectLst>
          </c:spPr>
          <c:txPr>
            <a:bodyPr rot="0" spcFirstLastPara="1" vertOverflow="ellipsis" vert="horz" wrap="square" lIns="36000" tIns="19050" rIns="38100" bIns="19050" anchor="ctr" anchorCtr="1">
              <a:sp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5.5572618640061286E-2"/>
          <c:y val="0.19905622588186647"/>
          <c:w val="0.88007955527298221"/>
          <c:h val="0.59898991110959332"/>
        </c:manualLayout>
      </c:layout>
      <c:barChart>
        <c:barDir val="col"/>
        <c:grouping val="clustered"/>
        <c:varyColors val="0"/>
        <c:ser>
          <c:idx val="0"/>
          <c:order val="0"/>
          <c:tx>
            <c:strRef>
              <c:f>'Analiza (Analysis)'!$C$3</c:f>
              <c:strCache>
                <c:ptCount val="1"/>
                <c:pt idx="0">
                  <c:v>Suma zysków brutto</c:v>
                </c:pt>
              </c:strCache>
            </c:strRef>
          </c:tx>
          <c:spPr>
            <a:solidFill>
              <a:schemeClr val="accent1">
                <a:lumMod val="75000"/>
              </a:schemeClr>
            </a:solidFill>
            <a:ln>
              <a:noFill/>
            </a:ln>
            <a:effectLst/>
          </c:spPr>
          <c:invertIfNegative val="0"/>
          <c:dLbls>
            <c:spPr>
              <a:noFill/>
              <a:ln>
                <a:noFill/>
              </a:ln>
              <a:effectLst/>
            </c:spPr>
            <c:txPr>
              <a:bodyPr wrap="square" lIns="38100" tIns="19050" rIns="38100" bIns="19050" anchor="ctr">
                <a:spAutoFit/>
              </a:bodyPr>
              <a:lstStyle/>
              <a:p>
                <a:pPr>
                  <a:defRPr sz="1000" b="1"/>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'Analiza (Analysis)'!$B$4:$B$8</c:f>
              <c:strCache>
                <c:ptCount val="4"/>
                <c:pt idx="0">
                  <c:v>Allegro</c:v>
                </c:pt>
                <c:pt idx="1">
                  <c:v>Empik Marketplace</c:v>
                </c:pt>
                <c:pt idx="2">
                  <c:v>Amazon</c:v>
                </c:pt>
                <c:pt idx="3">
                  <c:v>Shopify</c:v>
                </c:pt>
              </c:strCache>
            </c:strRef>
          </c:cat>
          <c:val>
            <c:numRef>
              <c:f>'Analiza (Analysis)'!$C$4:$C$8</c:f>
              <c:numCache>
                <c:formatCode>#,##0\ "zł";[Red]\-#,##0\ "zł"</c:formatCode>
                <c:ptCount val="4"/>
                <c:pt idx="0">
                  <c:v>8879.9034609523824</c:v>
                </c:pt>
                <c:pt idx="1">
                  <c:v>8620.8110470920401</c:v>
                </c:pt>
                <c:pt idx="2">
                  <c:v>5565.5687661559668</c:v>
                </c:pt>
                <c:pt idx="3">
                  <c:v>4436.8110504109427</c:v>
                </c:pt>
              </c:numCache>
            </c:numRef>
          </c:val>
          <c:extLst>
            <c:ext xmlns:c16="http://schemas.microsoft.com/office/drawing/2014/chart" uri="{C3380CC4-5D6E-409C-BE32-E72D297353CC}">
              <c16:uniqueId val="{00000000-08E1-4C92-9511-B84CB9F55F65}"/>
            </c:ext>
          </c:extLst>
        </c:ser>
        <c:ser>
          <c:idx val="1"/>
          <c:order val="1"/>
          <c:tx>
            <c:strRef>
              <c:f>'Analiza (Analysis)'!$D$3</c:f>
              <c:strCache>
                <c:ptCount val="1"/>
                <c:pt idx="0">
                  <c:v>Suma przychodów brutto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(Analysis)'!$B$4:$B$8</c:f>
              <c:strCache>
                <c:ptCount val="4"/>
                <c:pt idx="0">
                  <c:v>Allegro</c:v>
                </c:pt>
                <c:pt idx="1">
                  <c:v>Empik Marketplace</c:v>
                </c:pt>
                <c:pt idx="2">
                  <c:v>Amazon</c:v>
                </c:pt>
                <c:pt idx="3">
                  <c:v>Shopify</c:v>
                </c:pt>
              </c:strCache>
            </c:strRef>
          </c:cat>
          <c:val>
            <c:numRef>
              <c:f>'Analiza (Analysis)'!$D$4:$D$8</c:f>
              <c:numCache>
                <c:formatCode>#,##0\ "zł";[Red]\-#,##0\ "zł"</c:formatCode>
                <c:ptCount val="4"/>
                <c:pt idx="0">
                  <c:v>28732.503761904762</c:v>
                </c:pt>
                <c:pt idx="1">
                  <c:v>29159.234496768942</c:v>
                </c:pt>
                <c:pt idx="2">
                  <c:v>20255.191779722682</c:v>
                </c:pt>
                <c:pt idx="3">
                  <c:v>10560.311050410941</c:v>
                </c:pt>
              </c:numCache>
            </c:numRef>
          </c:val>
          <c:extLst>
            <c:ext xmlns:c16="http://schemas.microsoft.com/office/drawing/2014/chart" uri="{C3380CC4-5D6E-409C-BE32-E72D297353CC}">
              <c16:uniqueId val="{00000001-08E1-4C92-9511-B84CB9F55F65}"/>
            </c:ext>
          </c:extLst>
        </c:ser>
        <c:dLbls>
          <c:showLegendKey val="0"/>
          <c:showVal val="0"/>
          <c:showCatName val="0"/>
          <c:showSerName val="0"/>
          <c:showPercent val="0"/>
          <c:showBubbleSize val="0"/>
        </c:dLbls>
        <c:gapWidth val="75"/>
        <c:axId val="454440016"/>
        <c:axId val="454451056"/>
      </c:barChart>
      <c:lineChart>
        <c:grouping val="standard"/>
        <c:varyColors val="0"/>
        <c:ser>
          <c:idx val="2"/>
          <c:order val="2"/>
          <c:tx>
            <c:strRef>
              <c:f>'Analiza (Analysis)'!$E$3</c:f>
              <c:strCache>
                <c:ptCount val="1"/>
                <c:pt idx="0">
                  <c:v>Średnia marża</c:v>
                </c:pt>
              </c:strCache>
            </c:strRef>
          </c:tx>
          <c:spPr>
            <a:ln w="28575" cap="rnd">
              <a:solidFill>
                <a:srgbClr val="FFAB15"/>
              </a:solidFill>
              <a:round/>
            </a:ln>
            <a:effectLst/>
          </c:spPr>
          <c:marker>
            <c:symbol val="circle"/>
            <c:size val="5"/>
            <c:spPr>
              <a:solidFill>
                <a:srgbClr val="FFAB15"/>
              </a:solidFill>
              <a:ln w="15875">
                <a:solidFill>
                  <a:srgbClr val="FFAB15"/>
                </a:solidFill>
              </a:ln>
              <a:effectLst/>
            </c:spPr>
          </c:marker>
          <c:dLbls>
            <c:dLbl>
              <c:idx val="0"/>
              <c:layout>
                <c:manualLayout>
                  <c:x val="-6.2111801242236402E-3"/>
                  <c:y val="-3.8095229305130096E-2"/>
                </c:manualLayout>
              </c:layout>
              <c:spPr>
                <a:noFill/>
                <a:ln>
                  <a:noFill/>
                </a:ln>
                <a:effectLst>
                  <a:softEdge rad="0"/>
                </a:effectLst>
              </c:spPr>
              <c:txPr>
                <a:bodyPr rot="0" spcFirstLastPara="1" vertOverflow="ellipsis" vert="horz" wrap="square" lIns="36000" tIns="19050" rIns="38100" bIns="19050" anchor="ctr" anchorCtr="1">
                  <a:no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A1AE-487F-A0C0-1D68B5584C3F}"/>
                </c:ext>
              </c:extLst>
            </c:dLbl>
            <c:dLbl>
              <c:idx val="1"/>
              <c:layout>
                <c:manualLayout>
                  <c:x val="-1.0351966873706004E-2"/>
                  <c:y val="-3.5164827050889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AE-487F-A0C0-1D68B5584C3F}"/>
                </c:ext>
              </c:extLst>
            </c:dLbl>
            <c:dLbl>
              <c:idx val="2"/>
              <c:layout>
                <c:manualLayout>
                  <c:x val="-1.035196687370608E-2"/>
                  <c:y val="2.9304022542407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AE-487F-A0C0-1D68B5584C3F}"/>
                </c:ext>
              </c:extLst>
            </c:dLbl>
            <c:dLbl>
              <c:idx val="3"/>
              <c:layout>
                <c:manualLayout>
                  <c:x val="-8.2815734989648039E-3"/>
                  <c:y val="3.5164827050889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AE-487F-A0C0-1D68B5584C3F}"/>
                </c:ext>
              </c:extLst>
            </c:dLbl>
            <c:spPr>
              <a:noFill/>
              <a:ln>
                <a:noFill/>
              </a:ln>
              <a:effectLst>
                <a:softEdge rad="0"/>
              </a:effectLst>
            </c:spPr>
            <c:txPr>
              <a:bodyPr rot="0" spcFirstLastPara="1" vertOverflow="ellipsis" vert="horz" wrap="square" lIns="36000" tIns="19050" rIns="38100" bIns="19050" anchor="ctr" anchorCtr="1">
                <a:spAutoFit/>
              </a:bodyPr>
              <a:lstStyle/>
              <a:p>
                <a:pPr>
                  <a:defRPr sz="1200" b="1" i="0" u="none" strike="noStrike" kern="1200" baseline="0">
                    <a:ln w="3175" cmpd="sng">
                      <a:noFill/>
                    </a:ln>
                    <a:solidFill>
                      <a:schemeClr val="tx1"/>
                    </a:solidFill>
                    <a:latin typeface="+mn-lt"/>
                    <a:ea typeface="+mn-ea"/>
                    <a:cs typeface="Arial" panose="020B0604020202020204" pitchFamily="34" charset="0"/>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'Analiza (Analysis)'!$B$4:$B$8</c:f>
              <c:strCache>
                <c:ptCount val="4"/>
                <c:pt idx="0">
                  <c:v>Allegro</c:v>
                </c:pt>
                <c:pt idx="1">
                  <c:v>Empik Marketplace</c:v>
                </c:pt>
                <c:pt idx="2">
                  <c:v>Amazon</c:v>
                </c:pt>
                <c:pt idx="3">
                  <c:v>Shopify</c:v>
                </c:pt>
              </c:strCache>
            </c:strRef>
          </c:cat>
          <c:val>
            <c:numRef>
              <c:f>'Analiza (Analysis)'!$E$4:$E$8</c:f>
              <c:numCache>
                <c:formatCode>0%</c:formatCode>
                <c:ptCount val="4"/>
                <c:pt idx="0">
                  <c:v>0.3902620373318807</c:v>
                </c:pt>
                <c:pt idx="1">
                  <c:v>0.35405632210007176</c:v>
                </c:pt>
                <c:pt idx="2">
                  <c:v>0.33238011796919714</c:v>
                </c:pt>
                <c:pt idx="3">
                  <c:v>0.47016922142768613</c:v>
                </c:pt>
              </c:numCache>
            </c:numRef>
          </c:val>
          <c:smooth val="1"/>
          <c:extLst>
            <c:ext xmlns:c16="http://schemas.microsoft.com/office/drawing/2014/chart" uri="{C3380CC4-5D6E-409C-BE32-E72D297353CC}">
              <c16:uniqueId val="{00000005-08E1-4C92-9511-B84CB9F55F65}"/>
            </c:ext>
          </c:extLst>
        </c:ser>
        <c:dLbls>
          <c:showLegendKey val="0"/>
          <c:showVal val="0"/>
          <c:showCatName val="0"/>
          <c:showSerName val="0"/>
          <c:showPercent val="0"/>
          <c:showBubbleSize val="0"/>
        </c:dLbls>
        <c:marker val="1"/>
        <c:smooth val="0"/>
        <c:axId val="466933696"/>
        <c:axId val="466908736"/>
      </c:lineChart>
      <c:catAx>
        <c:axId val="4544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0"/>
          <a:lstStyle/>
          <a:p>
            <a:pPr>
              <a:defRPr sz="1000" b="0" i="0" u="none" strike="noStrike" kern="1200" baseline="0">
                <a:solidFill>
                  <a:sysClr val="windowText" lastClr="000000"/>
                </a:solidFill>
                <a:latin typeface="+mn-lt"/>
                <a:ea typeface="+mn-ea"/>
                <a:cs typeface="+mn-cs"/>
              </a:defRPr>
            </a:pPr>
            <a:endParaRPr lang="pl-PL"/>
          </a:p>
        </c:txPr>
        <c:crossAx val="454451056"/>
        <c:crosses val="autoZero"/>
        <c:auto val="1"/>
        <c:lblAlgn val="ctr"/>
        <c:lblOffset val="100"/>
        <c:noMultiLvlLbl val="0"/>
      </c:catAx>
      <c:valAx>
        <c:axId val="454451056"/>
        <c:scaling>
          <c:orientation val="minMax"/>
          <c:max val="30000"/>
          <c:min val="0"/>
        </c:scaling>
        <c:delete val="0"/>
        <c:axPos val="l"/>
        <c:majorGridlines>
          <c:spPr>
            <a:ln w="9525" cap="flat" cmpd="sng" algn="ctr">
              <a:noFill/>
              <a:round/>
            </a:ln>
            <a:effectLst/>
          </c:spPr>
        </c:majorGridlines>
        <c:numFmt formatCode="#,##0\ &quot;zł&quot;;[Red]\-#,##0\ &quot;zł&quot;" sourceLinked="1"/>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pl-PL"/>
          </a:p>
        </c:txPr>
        <c:crossAx val="454440016"/>
        <c:crosses val="autoZero"/>
        <c:crossBetween val="between"/>
        <c:majorUnit val="5000"/>
      </c:valAx>
      <c:valAx>
        <c:axId val="466908736"/>
        <c:scaling>
          <c:orientation val="minMax"/>
          <c:max val="0.55000000000000004"/>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noFill/>
                <a:latin typeface="+mn-lt"/>
                <a:ea typeface="+mn-ea"/>
                <a:cs typeface="+mn-cs"/>
              </a:defRPr>
            </a:pPr>
            <a:endParaRPr lang="pl-PL"/>
          </a:p>
        </c:txPr>
        <c:crossAx val="466933696"/>
        <c:crosses val="max"/>
        <c:crossBetween val="between"/>
      </c:valAx>
      <c:catAx>
        <c:axId val="466933696"/>
        <c:scaling>
          <c:orientation val="minMax"/>
        </c:scaling>
        <c:delete val="1"/>
        <c:axPos val="b"/>
        <c:numFmt formatCode="General" sourceLinked="1"/>
        <c:majorTickMark val="out"/>
        <c:minorTickMark val="none"/>
        <c:tickLblPos val="nextTo"/>
        <c:crossAx val="466908736"/>
        <c:crosses val="autoZero"/>
        <c:auto val="1"/>
        <c:lblAlgn val="ctr"/>
        <c:lblOffset val="100"/>
        <c:noMultiLvlLbl val="0"/>
      </c:catAx>
      <c:spPr>
        <a:noFill/>
        <a:ln>
          <a:noFill/>
        </a:ln>
        <a:effectLst/>
      </c:spPr>
    </c:plotArea>
    <c:legend>
      <c:legendPos val="b"/>
      <c:layout>
        <c:manualLayout>
          <c:xMode val="edge"/>
          <c:yMode val="edge"/>
          <c:x val="4.9151464762556857E-2"/>
          <c:y val="0.89435969095562484"/>
          <c:w val="0.89256647266917721"/>
          <c:h val="6.880261456488372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 biznesowa.xlsx]Analiza (Analysis)!Tabela przestawna3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i="0" u="none" strike="noStrike" kern="1200" spc="0" baseline="0">
                <a:solidFill>
                  <a:schemeClr val="tx1"/>
                </a:solidFill>
              </a:rPr>
              <a:t>Zysk, przychód i marża wg kategorii produktu</a:t>
            </a:r>
          </a:p>
        </c:rich>
      </c:tx>
      <c:layout>
        <c:manualLayout>
          <c:xMode val="edge"/>
          <c:yMode val="edge"/>
          <c:x val="0.22348837640832955"/>
          <c:y val="2.6373620288166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B94747"/>
            </a:solidFill>
            <a:round/>
          </a:ln>
          <a:effectLst/>
        </c:spPr>
        <c:marker>
          <c:symbol val="circle"/>
          <c:size val="6"/>
          <c:spPr>
            <a:solidFill>
              <a:srgbClr val="B94747"/>
            </a:solidFill>
            <a:ln w="9525">
              <a:solidFill>
                <a:srgbClr val="B9474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B94747"/>
            </a:solidFill>
            <a:round/>
          </a:ln>
          <a:effectLst/>
        </c:spPr>
        <c:marker>
          <c:symbol val="circle"/>
          <c:size val="6"/>
          <c:spPr>
            <a:solidFill>
              <a:srgbClr val="B94747"/>
            </a:solidFill>
            <a:ln w="9525">
              <a:solidFill>
                <a:srgbClr val="B94747"/>
              </a:solidFill>
            </a:ln>
            <a:effectLst/>
          </c:spPr>
        </c:marker>
        <c:dLbl>
          <c:idx val="0"/>
          <c:layout>
            <c:manualLayout>
              <c:x val="-1.4470281882393307E-2"/>
              <c:y val="-3.516482705088934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B94747"/>
            </a:solidFill>
            <a:round/>
          </a:ln>
          <a:effectLst/>
        </c:spPr>
        <c:marker>
          <c:symbol val="circle"/>
          <c:size val="6"/>
          <c:spPr>
            <a:solidFill>
              <a:srgbClr val="B94747"/>
            </a:solidFill>
            <a:ln w="9525">
              <a:solidFill>
                <a:srgbClr val="B94747"/>
              </a:solidFill>
            </a:ln>
            <a:effectLst/>
          </c:spPr>
        </c:marker>
        <c:dLbl>
          <c:idx val="0"/>
          <c:layout>
            <c:manualLayout>
              <c:x val="-1.2403098756337055E-2"/>
              <c:y val="2.63736202881668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B94747"/>
            </a:solidFill>
            <a:round/>
          </a:ln>
          <a:effectLst/>
        </c:spPr>
        <c:marker>
          <c:symbol val="circle"/>
          <c:size val="6"/>
          <c:spPr>
            <a:solidFill>
              <a:srgbClr val="B94747"/>
            </a:solidFill>
            <a:ln w="9525">
              <a:solidFill>
                <a:srgbClr val="B94747"/>
              </a:solidFill>
            </a:ln>
            <a:effectLst/>
          </c:spPr>
        </c:marker>
        <c:dLbl>
          <c:idx val="0"/>
          <c:layout>
            <c:manualLayout>
              <c:x val="-1.2403098756337131E-2"/>
              <c:y val="-2.637362028816699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B94747"/>
            </a:solidFill>
            <a:round/>
          </a:ln>
          <a:effectLst/>
        </c:spPr>
        <c:marker>
          <c:symbol val="circle"/>
          <c:size val="6"/>
          <c:spPr>
            <a:solidFill>
              <a:srgbClr val="B94747"/>
            </a:solidFill>
            <a:ln w="9525">
              <a:solidFill>
                <a:srgbClr val="B94747"/>
              </a:solidFill>
            </a:ln>
            <a:effectLst/>
          </c:spPr>
        </c:marker>
        <c:dLbl>
          <c:idx val="0"/>
          <c:layout>
            <c:manualLayout>
              <c:x val="-6.2015493781685275E-3"/>
              <c:y val="-2.637362028816699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795781514044E-2"/>
          <c:y val="0.1350622398979574"/>
          <c:w val="0.89870802682324735"/>
          <c:h val="0.70587206463682861"/>
        </c:manualLayout>
      </c:layout>
      <c:barChart>
        <c:barDir val="col"/>
        <c:grouping val="clustered"/>
        <c:varyColors val="0"/>
        <c:ser>
          <c:idx val="0"/>
          <c:order val="0"/>
          <c:tx>
            <c:strRef>
              <c:f>'Analiza (Analysis)'!$C$10</c:f>
              <c:strCache>
                <c:ptCount val="1"/>
                <c:pt idx="0">
                  <c:v>Suma zysków brutto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(Analysis)'!$B$11:$B$15</c:f>
              <c:strCache>
                <c:ptCount val="4"/>
                <c:pt idx="0">
                  <c:v>Outdoor</c:v>
                </c:pt>
                <c:pt idx="1">
                  <c:v>Kosmetyki</c:v>
                </c:pt>
                <c:pt idx="2">
                  <c:v>Home</c:v>
                </c:pt>
                <c:pt idx="3">
                  <c:v>Elektronika</c:v>
                </c:pt>
              </c:strCache>
            </c:strRef>
          </c:cat>
          <c:val>
            <c:numRef>
              <c:f>'Analiza (Analysis)'!$C$11:$C$15</c:f>
              <c:numCache>
                <c:formatCode>#,##0\ "zł";[Red]\-#,##0\ "zł"</c:formatCode>
                <c:ptCount val="4"/>
                <c:pt idx="0">
                  <c:v>19439.23947</c:v>
                </c:pt>
                <c:pt idx="1">
                  <c:v>5630.3236966666664</c:v>
                </c:pt>
                <c:pt idx="2">
                  <c:v>1460.834592727273</c:v>
                </c:pt>
                <c:pt idx="3">
                  <c:v>972.69656521739194</c:v>
                </c:pt>
              </c:numCache>
            </c:numRef>
          </c:val>
          <c:extLst>
            <c:ext xmlns:c16="http://schemas.microsoft.com/office/drawing/2014/chart" uri="{C3380CC4-5D6E-409C-BE32-E72D297353CC}">
              <c16:uniqueId val="{00000000-7B9B-45D0-A22B-411F3B763678}"/>
            </c:ext>
          </c:extLst>
        </c:ser>
        <c:ser>
          <c:idx val="1"/>
          <c:order val="1"/>
          <c:tx>
            <c:strRef>
              <c:f>'Analiza (Analysis)'!$D$10</c:f>
              <c:strCache>
                <c:ptCount val="1"/>
                <c:pt idx="0">
                  <c:v>Suma przychodów brutto</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(Analysis)'!$B$11:$B$15</c:f>
              <c:strCache>
                <c:ptCount val="4"/>
                <c:pt idx="0">
                  <c:v>Outdoor</c:v>
                </c:pt>
                <c:pt idx="1">
                  <c:v>Kosmetyki</c:v>
                </c:pt>
                <c:pt idx="2">
                  <c:v>Home</c:v>
                </c:pt>
                <c:pt idx="3">
                  <c:v>Elektronika</c:v>
                </c:pt>
              </c:strCache>
            </c:strRef>
          </c:cat>
          <c:val>
            <c:numRef>
              <c:f>'Analiza (Analysis)'!$D$11:$D$15</c:f>
              <c:numCache>
                <c:formatCode>#,##0\ "zł";[Red]\-#,##0\ "zł"</c:formatCode>
                <c:ptCount val="4"/>
                <c:pt idx="0">
                  <c:v>64789.817357142834</c:v>
                </c:pt>
                <c:pt idx="1">
                  <c:v>10616.090111111111</c:v>
                </c:pt>
                <c:pt idx="2">
                  <c:v>3144.7502727272722</c:v>
                </c:pt>
                <c:pt idx="3">
                  <c:v>10156.583347826087</c:v>
                </c:pt>
              </c:numCache>
            </c:numRef>
          </c:val>
          <c:extLst>
            <c:ext xmlns:c16="http://schemas.microsoft.com/office/drawing/2014/chart" uri="{C3380CC4-5D6E-409C-BE32-E72D297353CC}">
              <c16:uniqueId val="{00000001-7B9B-45D0-A22B-411F3B763678}"/>
            </c:ext>
          </c:extLst>
        </c:ser>
        <c:dLbls>
          <c:showLegendKey val="0"/>
          <c:showVal val="0"/>
          <c:showCatName val="0"/>
          <c:showSerName val="0"/>
          <c:showPercent val="0"/>
          <c:showBubbleSize val="0"/>
        </c:dLbls>
        <c:gapWidth val="75"/>
        <c:axId val="1886350511"/>
        <c:axId val="1886352431"/>
      </c:barChart>
      <c:lineChart>
        <c:grouping val="standard"/>
        <c:varyColors val="0"/>
        <c:ser>
          <c:idx val="2"/>
          <c:order val="2"/>
          <c:tx>
            <c:strRef>
              <c:f>'Analiza (Analysis)'!$E$10</c:f>
              <c:strCache>
                <c:ptCount val="1"/>
                <c:pt idx="0">
                  <c:v>Średnia marża</c:v>
                </c:pt>
              </c:strCache>
            </c:strRef>
          </c:tx>
          <c:spPr>
            <a:ln w="28575" cap="rnd">
              <a:solidFill>
                <a:srgbClr val="B94747"/>
              </a:solidFill>
              <a:round/>
            </a:ln>
            <a:effectLst/>
          </c:spPr>
          <c:marker>
            <c:symbol val="circle"/>
            <c:size val="6"/>
            <c:spPr>
              <a:solidFill>
                <a:srgbClr val="B94747"/>
              </a:solidFill>
              <a:ln w="9525">
                <a:solidFill>
                  <a:srgbClr val="B94747"/>
                </a:solidFill>
              </a:ln>
              <a:effectLst/>
            </c:spPr>
          </c:marker>
          <c:dPt>
            <c:idx val="0"/>
            <c:marker>
              <c:symbol val="circle"/>
              <c:size val="6"/>
              <c:spPr>
                <a:solidFill>
                  <a:srgbClr val="B94747"/>
                </a:solidFill>
                <a:ln w="9525">
                  <a:solidFill>
                    <a:srgbClr val="B94747"/>
                  </a:solidFill>
                </a:ln>
                <a:effectLst/>
              </c:spPr>
            </c:marker>
            <c:bubble3D val="0"/>
            <c:spPr>
              <a:ln w="28575" cap="rnd">
                <a:solidFill>
                  <a:srgbClr val="B94747"/>
                </a:solidFill>
                <a:round/>
              </a:ln>
              <a:effectLst/>
            </c:spPr>
            <c:extLst>
              <c:ext xmlns:c16="http://schemas.microsoft.com/office/drawing/2014/chart" uri="{C3380CC4-5D6E-409C-BE32-E72D297353CC}">
                <c16:uniqueId val="{00000005-7B9B-45D0-A22B-411F3B763678}"/>
              </c:ext>
            </c:extLst>
          </c:dPt>
          <c:dPt>
            <c:idx val="1"/>
            <c:marker>
              <c:symbol val="circle"/>
              <c:size val="6"/>
              <c:spPr>
                <a:solidFill>
                  <a:srgbClr val="B94747"/>
                </a:solidFill>
                <a:ln w="9525">
                  <a:solidFill>
                    <a:srgbClr val="B94747"/>
                  </a:solidFill>
                </a:ln>
                <a:effectLst/>
              </c:spPr>
            </c:marker>
            <c:bubble3D val="0"/>
            <c:spPr>
              <a:ln w="28575" cap="rnd">
                <a:solidFill>
                  <a:srgbClr val="B94747"/>
                </a:solidFill>
                <a:round/>
              </a:ln>
              <a:effectLst/>
            </c:spPr>
            <c:extLst>
              <c:ext xmlns:c16="http://schemas.microsoft.com/office/drawing/2014/chart" uri="{C3380CC4-5D6E-409C-BE32-E72D297353CC}">
                <c16:uniqueId val="{00000004-7B9B-45D0-A22B-411F3B763678}"/>
              </c:ext>
            </c:extLst>
          </c:dPt>
          <c:dPt>
            <c:idx val="2"/>
            <c:marker>
              <c:symbol val="circle"/>
              <c:size val="6"/>
              <c:spPr>
                <a:solidFill>
                  <a:srgbClr val="B94747"/>
                </a:solidFill>
                <a:ln w="9525">
                  <a:solidFill>
                    <a:srgbClr val="B94747"/>
                  </a:solidFill>
                </a:ln>
                <a:effectLst/>
              </c:spPr>
            </c:marker>
            <c:bubble3D val="0"/>
            <c:spPr>
              <a:ln w="28575" cap="rnd">
                <a:solidFill>
                  <a:srgbClr val="B94747"/>
                </a:solidFill>
                <a:round/>
              </a:ln>
              <a:effectLst/>
            </c:spPr>
            <c:extLst>
              <c:ext xmlns:c16="http://schemas.microsoft.com/office/drawing/2014/chart" uri="{C3380CC4-5D6E-409C-BE32-E72D297353CC}">
                <c16:uniqueId val="{00000006-7B9B-45D0-A22B-411F3B763678}"/>
              </c:ext>
            </c:extLst>
          </c:dPt>
          <c:dPt>
            <c:idx val="3"/>
            <c:marker>
              <c:symbol val="circle"/>
              <c:size val="6"/>
              <c:spPr>
                <a:solidFill>
                  <a:srgbClr val="B94747"/>
                </a:solidFill>
                <a:ln w="9525">
                  <a:solidFill>
                    <a:srgbClr val="B94747"/>
                  </a:solidFill>
                </a:ln>
                <a:effectLst/>
              </c:spPr>
            </c:marker>
            <c:bubble3D val="0"/>
            <c:spPr>
              <a:ln w="28575" cap="rnd">
                <a:solidFill>
                  <a:srgbClr val="B94747"/>
                </a:solidFill>
                <a:round/>
              </a:ln>
              <a:effectLst/>
            </c:spPr>
            <c:extLst>
              <c:ext xmlns:c16="http://schemas.microsoft.com/office/drawing/2014/chart" uri="{C3380CC4-5D6E-409C-BE32-E72D297353CC}">
                <c16:uniqueId val="{00000007-7B9B-45D0-A22B-411F3B763678}"/>
              </c:ext>
            </c:extLst>
          </c:dPt>
          <c:dLbls>
            <c:dLbl>
              <c:idx val="0"/>
              <c:layout>
                <c:manualLayout>
                  <c:x val="-1.2403098756337055E-2"/>
                  <c:y val="2.6373620288166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9B-45D0-A22B-411F3B763678}"/>
                </c:ext>
              </c:extLst>
            </c:dLbl>
            <c:dLbl>
              <c:idx val="1"/>
              <c:layout>
                <c:manualLayout>
                  <c:x val="-1.4470281882393307E-2"/>
                  <c:y val="-3.51648270508893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9B-45D0-A22B-411F3B763678}"/>
                </c:ext>
              </c:extLst>
            </c:dLbl>
            <c:dLbl>
              <c:idx val="2"/>
              <c:layout>
                <c:manualLayout>
                  <c:x val="-1.2403098756337131E-2"/>
                  <c:y val="-2.6373620288166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9B-45D0-A22B-411F3B763678}"/>
                </c:ext>
              </c:extLst>
            </c:dLbl>
            <c:dLbl>
              <c:idx val="3"/>
              <c:layout>
                <c:manualLayout>
                  <c:x val="-6.2015493781685275E-3"/>
                  <c:y val="-2.6373620288166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9B-45D0-A22B-411F3B76367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(Analysis)'!$B$11:$B$15</c:f>
              <c:strCache>
                <c:ptCount val="4"/>
                <c:pt idx="0">
                  <c:v>Outdoor</c:v>
                </c:pt>
                <c:pt idx="1">
                  <c:v>Kosmetyki</c:v>
                </c:pt>
                <c:pt idx="2">
                  <c:v>Home</c:v>
                </c:pt>
                <c:pt idx="3">
                  <c:v>Elektronika</c:v>
                </c:pt>
              </c:strCache>
            </c:strRef>
          </c:cat>
          <c:val>
            <c:numRef>
              <c:f>'Analiza (Analysis)'!$E$11:$E$15</c:f>
              <c:numCache>
                <c:formatCode>0%</c:formatCode>
                <c:ptCount val="4"/>
                <c:pt idx="0">
                  <c:v>0.30805798961041936</c:v>
                </c:pt>
                <c:pt idx="1">
                  <c:v>0.53716647157139663</c:v>
                </c:pt>
                <c:pt idx="2">
                  <c:v>0.46104741951806633</c:v>
                </c:pt>
                <c:pt idx="3">
                  <c:v>8.9408549570861529E-2</c:v>
                </c:pt>
              </c:numCache>
            </c:numRef>
          </c:val>
          <c:smooth val="1"/>
          <c:extLst>
            <c:ext xmlns:c16="http://schemas.microsoft.com/office/drawing/2014/chart" uri="{C3380CC4-5D6E-409C-BE32-E72D297353CC}">
              <c16:uniqueId val="{00000002-7B9B-45D0-A22B-411F3B763678}"/>
            </c:ext>
          </c:extLst>
        </c:ser>
        <c:dLbls>
          <c:showLegendKey val="0"/>
          <c:showVal val="0"/>
          <c:showCatName val="0"/>
          <c:showSerName val="0"/>
          <c:showPercent val="0"/>
          <c:showBubbleSize val="0"/>
        </c:dLbls>
        <c:marker val="1"/>
        <c:smooth val="0"/>
        <c:axId val="1886387615"/>
        <c:axId val="1886387135"/>
      </c:lineChart>
      <c:catAx>
        <c:axId val="18863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l-PL"/>
          </a:p>
        </c:txPr>
        <c:crossAx val="1886352431"/>
        <c:crosses val="autoZero"/>
        <c:auto val="1"/>
        <c:lblAlgn val="ctr"/>
        <c:lblOffset val="100"/>
        <c:noMultiLvlLbl val="0"/>
      </c:catAx>
      <c:valAx>
        <c:axId val="1886352431"/>
        <c:scaling>
          <c:orientation val="minMax"/>
        </c:scaling>
        <c:delete val="0"/>
        <c:axPos val="l"/>
        <c:majorGridlines>
          <c:spPr>
            <a:ln w="9525" cap="flat" cmpd="sng" algn="ctr">
              <a:noFill/>
              <a:round/>
            </a:ln>
            <a:effectLst/>
          </c:spPr>
        </c:majorGridlines>
        <c:numFmt formatCode="#,##0\ &quot;zł&quot;;[Red]\-#,##0\ &quot;zł&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6350511"/>
        <c:crosses val="autoZero"/>
        <c:crossBetween val="between"/>
      </c:valAx>
      <c:valAx>
        <c:axId val="1886387135"/>
        <c:scaling>
          <c:orientation val="minMax"/>
          <c:max val="0.70000000000000007"/>
          <c:min val="-0.12000000000000001"/>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86387615"/>
        <c:crosses val="max"/>
        <c:crossBetween val="between"/>
      </c:valAx>
      <c:catAx>
        <c:axId val="1886387615"/>
        <c:scaling>
          <c:orientation val="minMax"/>
        </c:scaling>
        <c:delete val="1"/>
        <c:axPos val="b"/>
        <c:numFmt formatCode="General" sourceLinked="1"/>
        <c:majorTickMark val="out"/>
        <c:minorTickMark val="none"/>
        <c:tickLblPos val="nextTo"/>
        <c:crossAx val="1886387135"/>
        <c:crosses val="autoZero"/>
        <c:auto val="1"/>
        <c:lblAlgn val="ctr"/>
        <c:lblOffset val="100"/>
        <c:noMultiLvlLbl val="0"/>
      </c:catAx>
      <c:spPr>
        <a:noFill/>
        <a:ln>
          <a:noFill/>
        </a:ln>
        <a:effectLst/>
      </c:spPr>
    </c:plotArea>
    <c:legend>
      <c:legendPos val="b"/>
      <c:legendEntry>
        <c:idx val="2"/>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l-PL"/>
          </a:p>
        </c:txPr>
      </c:legendEntry>
      <c:layout>
        <c:manualLayout>
          <c:xMode val="edge"/>
          <c:yMode val="edge"/>
          <c:x val="0.10909632194407667"/>
          <c:y val="0.90598415829156165"/>
          <c:w val="0.78180735611184671"/>
          <c:h val="7.643342818299370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l-PL" b="1">
                <a:solidFill>
                  <a:sysClr val="windowText" lastClr="000000"/>
                </a:solidFill>
              </a:rPr>
              <a:t>Struktura</a:t>
            </a:r>
            <a:r>
              <a:rPr lang="pl-PL" b="1" baseline="0">
                <a:solidFill>
                  <a:sysClr val="windowText" lastClr="000000"/>
                </a:solidFill>
              </a:rPr>
              <a:t> przychodów wg miasta</a:t>
            </a:r>
            <a:endParaRPr lang="en-US" b="1">
              <a:solidFill>
                <a:sysClr val="windowText" lastClr="000000"/>
              </a:solidFill>
            </a:endParaRPr>
          </a:p>
        </c:rich>
      </c:tx>
      <c:layout>
        <c:manualLayout>
          <c:xMode val="edge"/>
          <c:yMode val="edge"/>
          <c:x val="0.19256785801311352"/>
          <c:y val="2.70639518077861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208638622405455E-2"/>
          <c:y val="0.14905947294704752"/>
          <c:w val="0.84958246224184764"/>
          <c:h val="0.76767204547862022"/>
        </c:manualLayout>
      </c:layout>
      <c:pieChart>
        <c:varyColors val="1"/>
        <c:ser>
          <c:idx val="0"/>
          <c:order val="0"/>
          <c:tx>
            <c:v>Udział w przychodzie</c:v>
          </c:tx>
          <c:spPr>
            <a:ln w="25400"/>
          </c:spPr>
          <c:dPt>
            <c:idx val="0"/>
            <c:bubble3D val="0"/>
            <c:explosion val="3"/>
            <c:spPr>
              <a:solidFill>
                <a:srgbClr val="002060"/>
              </a:solidFill>
              <a:ln w="25400">
                <a:solidFill>
                  <a:schemeClr val="bg1"/>
                </a:solidFill>
              </a:ln>
              <a:effectLst/>
            </c:spPr>
            <c:extLst>
              <c:ext xmlns:c16="http://schemas.microsoft.com/office/drawing/2014/chart" uri="{C3380CC4-5D6E-409C-BE32-E72D297353CC}">
                <c16:uniqueId val="{00000001-99EB-4ECD-AA70-3BFC1AE4FD89}"/>
              </c:ext>
            </c:extLst>
          </c:dPt>
          <c:dPt>
            <c:idx val="1"/>
            <c:bubble3D val="0"/>
            <c:spPr>
              <a:solidFill>
                <a:srgbClr val="00339A"/>
              </a:solidFill>
              <a:ln w="25400">
                <a:solidFill>
                  <a:schemeClr val="lt1"/>
                </a:solidFill>
              </a:ln>
              <a:effectLst/>
            </c:spPr>
            <c:extLst>
              <c:ext xmlns:c16="http://schemas.microsoft.com/office/drawing/2014/chart" uri="{C3380CC4-5D6E-409C-BE32-E72D297353CC}">
                <c16:uniqueId val="{00000003-99EB-4ECD-AA70-3BFC1AE4FD89}"/>
              </c:ext>
            </c:extLst>
          </c:dPt>
          <c:dPt>
            <c:idx val="2"/>
            <c:bubble3D val="0"/>
            <c:spPr>
              <a:solidFill>
                <a:srgbClr val="0047D6"/>
              </a:solidFill>
              <a:ln w="25400">
                <a:solidFill>
                  <a:schemeClr val="lt1"/>
                </a:solidFill>
              </a:ln>
              <a:effectLst/>
            </c:spPr>
            <c:extLst>
              <c:ext xmlns:c16="http://schemas.microsoft.com/office/drawing/2014/chart" uri="{C3380CC4-5D6E-409C-BE32-E72D297353CC}">
                <c16:uniqueId val="{00000005-99EB-4ECD-AA70-3BFC1AE4FD89}"/>
              </c:ext>
            </c:extLst>
          </c:dPt>
          <c:dPt>
            <c:idx val="3"/>
            <c:bubble3D val="0"/>
            <c:spPr>
              <a:solidFill>
                <a:srgbClr val="216BFF"/>
              </a:solidFill>
              <a:ln w="25400">
                <a:solidFill>
                  <a:schemeClr val="lt1"/>
                </a:solidFill>
              </a:ln>
              <a:effectLst/>
            </c:spPr>
            <c:extLst>
              <c:ext xmlns:c16="http://schemas.microsoft.com/office/drawing/2014/chart" uri="{C3380CC4-5D6E-409C-BE32-E72D297353CC}">
                <c16:uniqueId val="{00000007-99EB-4ECD-AA70-3BFC1AE4FD89}"/>
              </c:ext>
            </c:extLst>
          </c:dPt>
          <c:dPt>
            <c:idx val="4"/>
            <c:bubble3D val="0"/>
            <c:spPr>
              <a:solidFill>
                <a:srgbClr val="5B92FF"/>
              </a:solidFill>
              <a:ln w="25400">
                <a:solidFill>
                  <a:schemeClr val="lt1"/>
                </a:solidFill>
              </a:ln>
              <a:effectLst/>
            </c:spPr>
            <c:extLst>
              <c:ext xmlns:c16="http://schemas.microsoft.com/office/drawing/2014/chart" uri="{C3380CC4-5D6E-409C-BE32-E72D297353CC}">
                <c16:uniqueId val="{00000009-99EB-4ECD-AA70-3BFC1AE4FD89}"/>
              </c:ext>
            </c:extLst>
          </c:dPt>
          <c:dPt>
            <c:idx val="5"/>
            <c:bubble3D val="0"/>
            <c:spPr>
              <a:solidFill>
                <a:srgbClr val="97CDFF"/>
              </a:solidFill>
              <a:ln w="25400">
                <a:solidFill>
                  <a:schemeClr val="bg1"/>
                </a:solidFill>
              </a:ln>
              <a:effectLst/>
            </c:spPr>
            <c:extLst>
              <c:ext xmlns:c16="http://schemas.microsoft.com/office/drawing/2014/chart" uri="{C3380CC4-5D6E-409C-BE32-E72D297353CC}">
                <c16:uniqueId val="{0000000B-99EB-4ECD-AA70-3BFC1AE4FD89}"/>
              </c:ext>
            </c:extLst>
          </c:dPt>
          <c:dLbls>
            <c:dLbl>
              <c:idx val="0"/>
              <c:layout>
                <c:manualLayout>
                  <c:x val="-0.18364528506797501"/>
                  <c:y val="0.14099136286378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EB-4ECD-AA70-3BFC1AE4FD89}"/>
                </c:ext>
              </c:extLst>
            </c:dLbl>
            <c:dLbl>
              <c:idx val="1"/>
              <c:layout>
                <c:manualLayout>
                  <c:x val="-0.14811315622310953"/>
                  <c:y val="-8.68900528403112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9EB-4ECD-AA70-3BFC1AE4FD89}"/>
                </c:ext>
              </c:extLst>
            </c:dLbl>
            <c:dLbl>
              <c:idx val="2"/>
              <c:layout>
                <c:manualLayout>
                  <c:x val="5.5910199992899451E-2"/>
                  <c:y val="-0.1442041000381560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9EB-4ECD-AA70-3BFC1AE4FD89}"/>
                </c:ext>
              </c:extLst>
            </c:dLbl>
            <c:dLbl>
              <c:idx val="3"/>
              <c:layout>
                <c:manualLayout>
                  <c:x val="0.13299485669785036"/>
                  <c:y val="-4.818967012383364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9EB-4ECD-AA70-3BFC1AE4FD89}"/>
                </c:ext>
              </c:extLst>
            </c:dLbl>
            <c:dLbl>
              <c:idx val="4"/>
              <c:layout>
                <c:manualLayout>
                  <c:x val="0.15727823101260247"/>
                  <c:y val="0.12380057118410859"/>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9EB-4ECD-AA70-3BFC1AE4FD89}"/>
                </c:ext>
              </c:extLst>
            </c:dLbl>
            <c:dLbl>
              <c:idx val="5"/>
              <c:layout>
                <c:manualLayout>
                  <c:x val="4.0763804761404877E-2"/>
                  <c:y val="0.12755905511811025"/>
                </c:manualLayout>
              </c:layout>
              <c:tx>
                <c:rich>
                  <a:bodyPr rot="0" spcFirstLastPara="1" vertOverflow="clip" horzOverflow="clip" vert="horz" wrap="square" lIns="38100" tIns="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fld id="{EAFC76BD-54C4-4E3A-9430-533325CB97B1}" type="CATEGORYNAME">
                      <a:rPr lang="en-US">
                        <a:solidFill>
                          <a:schemeClr val="tx1">
                            <a:lumMod val="85000"/>
                            <a:lumOff val="15000"/>
                          </a:schemeClr>
                        </a:solidFill>
                      </a:rPr>
                      <a:pPr>
                        <a:defRPr sz="1000" b="1">
                          <a:solidFill>
                            <a:schemeClr val="tx1">
                              <a:lumMod val="85000"/>
                              <a:lumOff val="15000"/>
                            </a:schemeClr>
                          </a:solidFill>
                        </a:defRPr>
                      </a:pPr>
                      <a:t>[NAZWA KATEGORII]</a:t>
                    </a:fld>
                    <a:endParaRPr lang="en-US" baseline="0">
                      <a:solidFill>
                        <a:schemeClr val="tx1">
                          <a:lumMod val="85000"/>
                          <a:lumOff val="15000"/>
                        </a:schemeClr>
                      </a:solidFill>
                    </a:endParaRPr>
                  </a:p>
                  <a:p>
                    <a:pPr>
                      <a:defRPr sz="1000" b="1">
                        <a:solidFill>
                          <a:schemeClr val="tx1">
                            <a:lumMod val="85000"/>
                            <a:lumOff val="15000"/>
                          </a:schemeClr>
                        </a:solidFill>
                      </a:defRPr>
                    </a:pPr>
                    <a:fld id="{678B51E5-4261-437E-83BD-24357EF1A194}" type="VALUE">
                      <a:rPr lang="en-US">
                        <a:solidFill>
                          <a:schemeClr val="tx1">
                            <a:lumMod val="85000"/>
                            <a:lumOff val="15000"/>
                          </a:schemeClr>
                        </a:solidFill>
                      </a:rPr>
                      <a:pPr>
                        <a:defRPr sz="1000" b="1">
                          <a:solidFill>
                            <a:schemeClr val="tx1">
                              <a:lumMod val="85000"/>
                              <a:lumOff val="15000"/>
                            </a:schemeClr>
                          </a:solidFill>
                        </a:defRPr>
                      </a:pPr>
                      <a:t>[WARTOŚĆ]</a:t>
                    </a:fld>
                    <a:endParaRPr lang="en-DE"/>
                  </a:p>
                </c:rich>
              </c:tx>
              <c:numFmt formatCode="0%" sourceLinked="0"/>
              <c:spPr>
                <a:noFill/>
                <a:ln>
                  <a:noFill/>
                </a:ln>
                <a:effectLst/>
              </c:spPr>
              <c:txPr>
                <a:bodyPr rot="0" spcFirstLastPara="1" vertOverflow="clip" horzOverflow="clip" vert="horz" wrap="square" lIns="38100" tIns="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B-99EB-4ECD-AA70-3BFC1AE4FD89}"/>
                </c:ext>
              </c:extLst>
            </c:dLbl>
            <c:numFmt formatCode="0%" sourceLinked="0"/>
            <c:spPr>
              <a:noFill/>
              <a:ln>
                <a:noFill/>
              </a:ln>
              <a:effectLst/>
            </c:spPr>
            <c:txPr>
              <a:bodyPr rot="0" spcFirstLastPara="1" vertOverflow="clip" horzOverflow="clip" vert="horz" wrap="square" lIns="38100" tIns="0" rIns="38100" bIns="19050" anchor="ctr" anchorCtr="1">
                <a:spAutoFit/>
              </a:bodyPr>
              <a:lstStyle/>
              <a:p>
                <a:pPr>
                  <a:defRPr sz="1000" b="1" i="0" u="none" strike="noStrike" kern="1200" baseline="0">
                    <a:solidFill>
                      <a:schemeClr val="bg1"/>
                    </a:solidFill>
                    <a:latin typeface="+mn-lt"/>
                    <a:ea typeface="+mn-ea"/>
                    <a:cs typeface="+mn-cs"/>
                  </a:defRPr>
                </a:pPr>
                <a:endParaRPr lang="en-DE"/>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'Analiza (Analysis)'!$G$18:$G$23</c:f>
              <c:strCache>
                <c:ptCount val="6"/>
                <c:pt idx="0">
                  <c:v>Warszawa</c:v>
                </c:pt>
                <c:pt idx="1">
                  <c:v>Wrocław</c:v>
                </c:pt>
                <c:pt idx="2">
                  <c:v>Gdańsk</c:v>
                </c:pt>
                <c:pt idx="3">
                  <c:v>Poznań</c:v>
                </c:pt>
                <c:pt idx="4">
                  <c:v>Kraków</c:v>
                </c:pt>
                <c:pt idx="5">
                  <c:v>Łódź</c:v>
                </c:pt>
              </c:strCache>
            </c:strRef>
          </c:cat>
          <c:val>
            <c:numLit>
              <c:formatCode>General</c:formatCode>
              <c:ptCount val="6"/>
              <c:pt idx="0">
                <c:v>0.22944586326597907</c:v>
              </c:pt>
              <c:pt idx="1">
                <c:v>0.20394427993268038</c:v>
              </c:pt>
              <c:pt idx="2">
                <c:v>0.18821021238345401</c:v>
              </c:pt>
              <c:pt idx="3">
                <c:v>0.17665685631675532</c:v>
              </c:pt>
              <c:pt idx="4">
                <c:v>0.14455683882065659</c:v>
              </c:pt>
              <c:pt idx="5">
                <c:v>5.7185949280474581E-2</c:v>
              </c:pt>
            </c:numLit>
          </c:val>
          <c:extLst>
            <c:ext xmlns:c16="http://schemas.microsoft.com/office/drawing/2014/chart" uri="{C3380CC4-5D6E-409C-BE32-E72D297353CC}">
              <c16:uniqueId val="{0000000C-99EB-4ECD-AA70-3BFC1AE4FD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 biznesowa.xlsx]Analiza (Analysis)!Tabela przestawna2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1">
                <a:solidFill>
                  <a:schemeClr val="tx1"/>
                </a:solidFill>
              </a:rPr>
              <a:t>Ranking miast</a:t>
            </a:r>
          </a:p>
        </c:rich>
      </c:tx>
      <c:layout>
        <c:manualLayout>
          <c:xMode val="edge"/>
          <c:yMode val="edge"/>
          <c:x val="0.38774476072828185"/>
          <c:y val="2.9343285713262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7C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1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993245679292"/>
          <c:y val="0.10883424671049059"/>
          <c:w val="0.81886174843951798"/>
          <c:h val="0.78822095817611382"/>
        </c:manualLayout>
      </c:layout>
      <c:barChart>
        <c:barDir val="bar"/>
        <c:grouping val="clustered"/>
        <c:varyColors val="0"/>
        <c:ser>
          <c:idx val="0"/>
          <c:order val="0"/>
          <c:tx>
            <c:strRef>
              <c:f>'Analiza (Analysis)'!$C$17</c:f>
              <c:strCache>
                <c:ptCount val="1"/>
                <c:pt idx="0">
                  <c:v>Suma zysków brutto</c:v>
                </c:pt>
              </c:strCache>
            </c:strRef>
          </c:tx>
          <c:spPr>
            <a:solidFill>
              <a:srgbClr val="0041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(Analysis)'!$B$18:$B$24</c:f>
              <c:strCache>
                <c:ptCount val="6"/>
                <c:pt idx="0">
                  <c:v>Warszawa</c:v>
                </c:pt>
                <c:pt idx="1">
                  <c:v>Wrocław</c:v>
                </c:pt>
                <c:pt idx="2">
                  <c:v>Gdańsk</c:v>
                </c:pt>
                <c:pt idx="3">
                  <c:v>Poznań</c:v>
                </c:pt>
                <c:pt idx="4">
                  <c:v>Kraków</c:v>
                </c:pt>
                <c:pt idx="5">
                  <c:v>Łódź</c:v>
                </c:pt>
              </c:strCache>
            </c:strRef>
          </c:cat>
          <c:val>
            <c:numRef>
              <c:f>'Analiza (Analysis)'!$C$18:$C$24</c:f>
              <c:numCache>
                <c:formatCode>#,##0\ "zł";[Red]\-#,##0\ "zł"</c:formatCode>
                <c:ptCount val="6"/>
                <c:pt idx="0">
                  <c:v>6310.4712197960971</c:v>
                </c:pt>
                <c:pt idx="1">
                  <c:v>5609.0987679534474</c:v>
                </c:pt>
                <c:pt idx="2">
                  <c:v>5176.3632240372681</c:v>
                </c:pt>
                <c:pt idx="3">
                  <c:v>4858.6101823690333</c:v>
                </c:pt>
                <c:pt idx="4">
                  <c:v>3975.7603733521555</c:v>
                </c:pt>
                <c:pt idx="5">
                  <c:v>1572.790557103332</c:v>
                </c:pt>
              </c:numCache>
            </c:numRef>
          </c:val>
          <c:extLst>
            <c:ext xmlns:c16="http://schemas.microsoft.com/office/drawing/2014/chart" uri="{C3380CC4-5D6E-409C-BE32-E72D297353CC}">
              <c16:uniqueId val="{00000000-B0B8-4445-910D-8AC9DB72DD65}"/>
            </c:ext>
          </c:extLst>
        </c:ser>
        <c:ser>
          <c:idx val="1"/>
          <c:order val="1"/>
          <c:tx>
            <c:strRef>
              <c:f>'Analiza (Analysis)'!$D$17</c:f>
              <c:strCache>
                <c:ptCount val="1"/>
                <c:pt idx="0">
                  <c:v>Suma przychodów brutto</c:v>
                </c:pt>
              </c:strCache>
            </c:strRef>
          </c:tx>
          <c:spPr>
            <a:solidFill>
              <a:srgbClr val="97C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'Analiza (Analysis)'!$B$18:$B$24</c:f>
              <c:strCache>
                <c:ptCount val="6"/>
                <c:pt idx="0">
                  <c:v>Warszawa</c:v>
                </c:pt>
                <c:pt idx="1">
                  <c:v>Wrocław</c:v>
                </c:pt>
                <c:pt idx="2">
                  <c:v>Gdańsk</c:v>
                </c:pt>
                <c:pt idx="3">
                  <c:v>Poznań</c:v>
                </c:pt>
                <c:pt idx="4">
                  <c:v>Kraków</c:v>
                </c:pt>
                <c:pt idx="5">
                  <c:v>Łódź</c:v>
                </c:pt>
              </c:strCache>
            </c:strRef>
          </c:cat>
          <c:val>
            <c:numRef>
              <c:f>'Analiza (Analysis)'!$D$18:$D$24</c:f>
              <c:numCache>
                <c:formatCode>#,##0\ "zł";[Red]\-#,##0\ "zł"</c:formatCode>
                <c:ptCount val="6"/>
                <c:pt idx="0">
                  <c:v>20497.26659363824</c:v>
                </c:pt>
                <c:pt idx="1">
                  <c:v>19745.094150511326</c:v>
                </c:pt>
                <c:pt idx="2">
                  <c:v>13950.474049501225</c:v>
                </c:pt>
                <c:pt idx="3">
                  <c:v>15411.592482715354</c:v>
                </c:pt>
                <c:pt idx="4">
                  <c:v>13605.533345724329</c:v>
                </c:pt>
                <c:pt idx="5">
                  <c:v>5497.2804667168584</c:v>
                </c:pt>
              </c:numCache>
            </c:numRef>
          </c:val>
          <c:extLst>
            <c:ext xmlns:c16="http://schemas.microsoft.com/office/drawing/2014/chart" uri="{C3380CC4-5D6E-409C-BE32-E72D297353CC}">
              <c16:uniqueId val="{00000001-B0B8-4445-910D-8AC9DB72DD65}"/>
            </c:ext>
          </c:extLst>
        </c:ser>
        <c:dLbls>
          <c:showLegendKey val="0"/>
          <c:showVal val="1"/>
          <c:showCatName val="0"/>
          <c:showSerName val="0"/>
          <c:showPercent val="0"/>
          <c:showBubbleSize val="0"/>
        </c:dLbls>
        <c:gapWidth val="100"/>
        <c:axId val="1963139184"/>
        <c:axId val="1963138704"/>
      </c:barChart>
      <c:catAx>
        <c:axId val="1963139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DE"/>
          </a:p>
        </c:txPr>
        <c:crossAx val="1963138704"/>
        <c:crosses val="autoZero"/>
        <c:auto val="1"/>
        <c:lblAlgn val="ctr"/>
        <c:lblOffset val="100"/>
        <c:noMultiLvlLbl val="0"/>
      </c:catAx>
      <c:valAx>
        <c:axId val="1963138704"/>
        <c:scaling>
          <c:orientation val="minMax"/>
        </c:scaling>
        <c:delete val="1"/>
        <c:axPos val="t"/>
        <c:numFmt formatCode="#,##0\ &quot;zł&quot;;[Red]\-#,##0\ &quot;zł&quot;" sourceLinked="1"/>
        <c:majorTickMark val="none"/>
        <c:minorTickMark val="none"/>
        <c:tickLblPos val="nextTo"/>
        <c:crossAx val="1963139184"/>
        <c:crosses val="autoZero"/>
        <c:crossBetween val="between"/>
      </c:valAx>
      <c:spPr>
        <a:noFill/>
        <a:ln>
          <a:noFill/>
        </a:ln>
        <a:effectLst/>
      </c:spPr>
    </c:plotArea>
    <c:legend>
      <c:legendPos val="b"/>
      <c:layout>
        <c:manualLayout>
          <c:xMode val="edge"/>
          <c:yMode val="edge"/>
          <c:x val="0.10285154729084688"/>
          <c:y val="0.92933281917119304"/>
          <c:w val="0.63577695111006249"/>
          <c:h val="5.306120940084938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 biznesowa.xlsx]Analiza (Analysis)!Tabela przestawna4</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DE" sz="1400" b="1" i="0" u="none" strike="noStrike" baseline="0">
                <a:solidFill>
                  <a:sysClr val="windowText" lastClr="000000"/>
                </a:solidFill>
              </a:rPr>
              <a:t>Trend przychodów i zysku miesięcznie</a:t>
            </a:r>
            <a:endParaRPr lang="pl-PL" b="1">
              <a:solidFill>
                <a:sysClr val="windowText" lastClr="000000"/>
              </a:solidFill>
            </a:endParaRPr>
          </a:p>
        </c:rich>
      </c:tx>
      <c:layout>
        <c:manualLayout>
          <c:xMode val="edge"/>
          <c:yMode val="edge"/>
          <c:x val="0.33504087844831631"/>
          <c:y val="3.22359942450558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1DD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89D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57391273379206E-2"/>
          <c:y val="0.12045278072947492"/>
          <c:w val="0.90638357402213598"/>
          <c:h val="0.71211180375040517"/>
        </c:manualLayout>
      </c:layout>
      <c:lineChart>
        <c:grouping val="standard"/>
        <c:varyColors val="0"/>
        <c:ser>
          <c:idx val="0"/>
          <c:order val="0"/>
          <c:tx>
            <c:strRef>
              <c:f>'Analiza (Analysis)'!$C$26</c:f>
              <c:strCache>
                <c:ptCount val="1"/>
                <c:pt idx="0">
                  <c:v>Suma przychodów brutto</c:v>
                </c:pt>
              </c:strCache>
            </c:strRef>
          </c:tx>
          <c:spPr>
            <a:ln w="28575" cap="rnd">
              <a:solidFill>
                <a:srgbClr val="81DDEF"/>
              </a:solidFill>
              <a:round/>
            </a:ln>
            <a:effectLst/>
          </c:spPr>
          <c:marker>
            <c:symbol val="none"/>
          </c:marker>
          <c:cat>
            <c:strRef>
              <c:f>'Analiza (Analysis)'!$B$27:$B$39</c:f>
              <c:strCache>
                <c:ptCount val="12"/>
                <c:pt idx="0">
                  <c:v>styczeń</c:v>
                </c:pt>
                <c:pt idx="1">
                  <c:v>luty</c:v>
                </c:pt>
                <c:pt idx="2">
                  <c:v>marzec</c:v>
                </c:pt>
                <c:pt idx="3">
                  <c:v>kwiecień</c:v>
                </c:pt>
                <c:pt idx="4">
                  <c:v>maj</c:v>
                </c:pt>
                <c:pt idx="5">
                  <c:v>czerwiec</c:v>
                </c:pt>
                <c:pt idx="6">
                  <c:v>lipiec</c:v>
                </c:pt>
                <c:pt idx="7">
                  <c:v>sierpień</c:v>
                </c:pt>
                <c:pt idx="8">
                  <c:v>wrzesień</c:v>
                </c:pt>
                <c:pt idx="9">
                  <c:v>październik</c:v>
                </c:pt>
                <c:pt idx="10">
                  <c:v>listopad</c:v>
                </c:pt>
                <c:pt idx="11">
                  <c:v>grudzień</c:v>
                </c:pt>
              </c:strCache>
            </c:strRef>
          </c:cat>
          <c:val>
            <c:numRef>
              <c:f>'Analiza (Analysis)'!$C$27:$C$39</c:f>
              <c:numCache>
                <c:formatCode>#,##0\ "zł";[Red]\-#,##0\ "zł"</c:formatCode>
                <c:ptCount val="12"/>
                <c:pt idx="0">
                  <c:v>4246.670316832925</c:v>
                </c:pt>
                <c:pt idx="1">
                  <c:v>8073.111358742708</c:v>
                </c:pt>
                <c:pt idx="2">
                  <c:v>3378.5373206286472</c:v>
                </c:pt>
                <c:pt idx="3">
                  <c:v>5877.5240786749482</c:v>
                </c:pt>
                <c:pt idx="4">
                  <c:v>10091.027608538803</c:v>
                </c:pt>
                <c:pt idx="5">
                  <c:v>6251.3309366334151</c:v>
                </c:pt>
                <c:pt idx="6">
                  <c:v>7033.3956333521564</c:v>
                </c:pt>
                <c:pt idx="7">
                  <c:v>5081.7454519104094</c:v>
                </c:pt>
                <c:pt idx="8">
                  <c:v>9361.7541773009616</c:v>
                </c:pt>
                <c:pt idx="9">
                  <c:v>7428.6995253466348</c:v>
                </c:pt>
                <c:pt idx="10">
                  <c:v>9500.885136049943</c:v>
                </c:pt>
                <c:pt idx="11">
                  <c:v>12382.559544795784</c:v>
                </c:pt>
              </c:numCache>
            </c:numRef>
          </c:val>
          <c:smooth val="0"/>
          <c:extLst>
            <c:ext xmlns:c16="http://schemas.microsoft.com/office/drawing/2014/chart" uri="{C3380CC4-5D6E-409C-BE32-E72D297353CC}">
              <c16:uniqueId val="{00000000-FA3D-42D3-AB9D-549BF71ACDE0}"/>
            </c:ext>
          </c:extLst>
        </c:ser>
        <c:ser>
          <c:idx val="1"/>
          <c:order val="1"/>
          <c:tx>
            <c:strRef>
              <c:f>'Analiza (Analysis)'!$D$26</c:f>
              <c:strCache>
                <c:ptCount val="1"/>
                <c:pt idx="0">
                  <c:v>Suma zysków brutto</c:v>
                </c:pt>
              </c:strCache>
            </c:strRef>
          </c:tx>
          <c:spPr>
            <a:ln w="28575" cap="rnd">
              <a:solidFill>
                <a:srgbClr val="189DB8"/>
              </a:solidFill>
              <a:round/>
            </a:ln>
            <a:effectLst/>
          </c:spPr>
          <c:marker>
            <c:symbol val="none"/>
          </c:marker>
          <c:cat>
            <c:strRef>
              <c:f>'Analiza (Analysis)'!$B$27:$B$39</c:f>
              <c:strCache>
                <c:ptCount val="12"/>
                <c:pt idx="0">
                  <c:v>styczeń</c:v>
                </c:pt>
                <c:pt idx="1">
                  <c:v>luty</c:v>
                </c:pt>
                <c:pt idx="2">
                  <c:v>marzec</c:v>
                </c:pt>
                <c:pt idx="3">
                  <c:v>kwiecień</c:v>
                </c:pt>
                <c:pt idx="4">
                  <c:v>maj</c:v>
                </c:pt>
                <c:pt idx="5">
                  <c:v>czerwiec</c:v>
                </c:pt>
                <c:pt idx="6">
                  <c:v>lipiec</c:v>
                </c:pt>
                <c:pt idx="7">
                  <c:v>sierpień</c:v>
                </c:pt>
                <c:pt idx="8">
                  <c:v>wrzesień</c:v>
                </c:pt>
                <c:pt idx="9">
                  <c:v>październik</c:v>
                </c:pt>
                <c:pt idx="10">
                  <c:v>listopad</c:v>
                </c:pt>
                <c:pt idx="11">
                  <c:v>grudzień</c:v>
                </c:pt>
              </c:strCache>
            </c:strRef>
          </c:cat>
          <c:val>
            <c:numRef>
              <c:f>'Analiza (Analysis)'!$D$27:$D$39</c:f>
              <c:numCache>
                <c:formatCode>#,##0\ "zł";[Red]\-#,##0\ "zł"</c:formatCode>
                <c:ptCount val="12"/>
                <c:pt idx="0">
                  <c:v>1860.4112640655001</c:v>
                </c:pt>
                <c:pt idx="1">
                  <c:v>2754.369861402849</c:v>
                </c:pt>
                <c:pt idx="2">
                  <c:v>1068.5225253215385</c:v>
                </c:pt>
                <c:pt idx="3">
                  <c:v>1826.1644386749485</c:v>
                </c:pt>
                <c:pt idx="4">
                  <c:v>2778.8613386900056</c:v>
                </c:pt>
                <c:pt idx="5">
                  <c:v>2210.1043761860842</c:v>
                </c:pt>
                <c:pt idx="6">
                  <c:v>2194.330435204844</c:v>
                </c:pt>
                <c:pt idx="7">
                  <c:v>1752.6718906957774</c:v>
                </c:pt>
                <c:pt idx="8">
                  <c:v>2691.35158451283</c:v>
                </c:pt>
                <c:pt idx="9">
                  <c:v>1864.1317827661715</c:v>
                </c:pt>
                <c:pt idx="10">
                  <c:v>2630.0293951483782</c:v>
                </c:pt>
                <c:pt idx="11">
                  <c:v>3872.1454319424056</c:v>
                </c:pt>
              </c:numCache>
            </c:numRef>
          </c:val>
          <c:smooth val="0"/>
          <c:extLst>
            <c:ext xmlns:c16="http://schemas.microsoft.com/office/drawing/2014/chart" uri="{C3380CC4-5D6E-409C-BE32-E72D297353CC}">
              <c16:uniqueId val="{00000001-FA3D-42D3-AB9D-549BF71ACDE0}"/>
            </c:ext>
          </c:extLst>
        </c:ser>
        <c:dLbls>
          <c:showLegendKey val="0"/>
          <c:showVal val="0"/>
          <c:showCatName val="0"/>
          <c:showSerName val="0"/>
          <c:showPercent val="0"/>
          <c:showBubbleSize val="0"/>
        </c:dLbls>
        <c:smooth val="0"/>
        <c:axId val="759330128"/>
        <c:axId val="759314288"/>
      </c:lineChart>
      <c:catAx>
        <c:axId val="75933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l-PL"/>
          </a:p>
        </c:txPr>
        <c:crossAx val="759314288"/>
        <c:crosses val="autoZero"/>
        <c:auto val="1"/>
        <c:lblAlgn val="ctr"/>
        <c:lblOffset val="100"/>
        <c:noMultiLvlLbl val="0"/>
      </c:catAx>
      <c:valAx>
        <c:axId val="759314288"/>
        <c:scaling>
          <c:orientation val="minMax"/>
        </c:scaling>
        <c:delete val="0"/>
        <c:axPos val="l"/>
        <c:numFmt formatCode="#,##0\ &quot;zł&quot;;[Red]\-#,##0\ &quot;zł&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l-PL"/>
          </a:p>
        </c:txPr>
        <c:crossAx val="759330128"/>
        <c:crosses val="autoZero"/>
        <c:crossBetween val="between"/>
      </c:valAx>
      <c:spPr>
        <a:noFill/>
        <a:ln>
          <a:noFill/>
        </a:ln>
        <a:effectLst/>
      </c:spPr>
    </c:plotArea>
    <c:legend>
      <c:legendPos val="b"/>
      <c:layout>
        <c:manualLayout>
          <c:xMode val="edge"/>
          <c:yMode val="edge"/>
          <c:x val="0.29201722537823716"/>
          <c:y val="0.92356285038183616"/>
          <c:w val="0.41596554924352569"/>
          <c:h val="5.299279016721412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200025</xdr:colOff>
      <xdr:row>7</xdr:row>
      <xdr:rowOff>119495</xdr:rowOff>
    </xdr:from>
    <xdr:to>
      <xdr:col>11</xdr:col>
      <xdr:colOff>258535</xdr:colOff>
      <xdr:row>30</xdr:row>
      <xdr:rowOff>71871</xdr:rowOff>
    </xdr:to>
    <xdr:graphicFrame macro="">
      <xdr:nvGraphicFramePr>
        <xdr:cNvPr id="2" name="Wykres 1">
          <a:extLst>
            <a:ext uri="{FF2B5EF4-FFF2-40B4-BE49-F238E27FC236}">
              <a16:creationId xmlns:a16="http://schemas.microsoft.com/office/drawing/2014/main" id="{64ABB454-59C9-4211-A3F8-47952E9B9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198541</xdr:colOff>
      <xdr:row>31</xdr:row>
      <xdr:rowOff>71616</xdr:rowOff>
    </xdr:from>
    <xdr:to>
      <xdr:col>11</xdr:col>
      <xdr:colOff>258535</xdr:colOff>
      <xdr:row>54</xdr:row>
      <xdr:rowOff>23992</xdr:rowOff>
    </xdr:to>
    <xdr:graphicFrame macro="">
      <xdr:nvGraphicFramePr>
        <xdr:cNvPr id="3" name="Wykres 2">
          <a:extLst>
            <a:ext uri="{FF2B5EF4-FFF2-40B4-BE49-F238E27FC236}">
              <a16:creationId xmlns:a16="http://schemas.microsoft.com/office/drawing/2014/main" id="{8304CC87-2708-4A81-AD0B-C397B7181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205829</xdr:colOff>
      <xdr:row>7</xdr:row>
      <xdr:rowOff>123126</xdr:rowOff>
    </xdr:from>
    <xdr:to>
      <xdr:col>25</xdr:col>
      <xdr:colOff>463418</xdr:colOff>
      <xdr:row>30</xdr:row>
      <xdr:rowOff>65976</xdr:rowOff>
    </xdr:to>
    <xdr:graphicFrame macro="">
      <xdr:nvGraphicFramePr>
        <xdr:cNvPr id="9" name="Wykres 8">
          <a:extLst>
            <a:ext uri="{FF2B5EF4-FFF2-40B4-BE49-F238E27FC236}">
              <a16:creationId xmlns:a16="http://schemas.microsoft.com/office/drawing/2014/main" id="{02995BC1-48D8-4FCF-A44C-294051237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444902</xdr:colOff>
      <xdr:row>7</xdr:row>
      <xdr:rowOff>119812</xdr:rowOff>
    </xdr:from>
    <xdr:to>
      <xdr:col>19</xdr:col>
      <xdr:colOff>513529</xdr:colOff>
      <xdr:row>30</xdr:row>
      <xdr:rowOff>66389</xdr:rowOff>
    </xdr:to>
    <xdr:graphicFrame macro="">
      <xdr:nvGraphicFramePr>
        <xdr:cNvPr id="6" name="Wykres 5">
          <a:extLst>
            <a:ext uri="{FF2B5EF4-FFF2-40B4-BE49-F238E27FC236}">
              <a16:creationId xmlns:a16="http://schemas.microsoft.com/office/drawing/2014/main" id="{5DE59803-A5BB-415D-A5A2-74D08A433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445394</xdr:colOff>
      <xdr:row>31</xdr:row>
      <xdr:rowOff>71982</xdr:rowOff>
    </xdr:from>
    <xdr:to>
      <xdr:col>25</xdr:col>
      <xdr:colOff>456757</xdr:colOff>
      <xdr:row>54</xdr:row>
      <xdr:rowOff>24147</xdr:rowOff>
    </xdr:to>
    <xdr:graphicFrame macro="">
      <xdr:nvGraphicFramePr>
        <xdr:cNvPr id="7" name="Wykres 6">
          <a:extLst>
            <a:ext uri="{FF2B5EF4-FFF2-40B4-BE49-F238E27FC236}">
              <a16:creationId xmlns:a16="http://schemas.microsoft.com/office/drawing/2014/main" id="{E7B13007-9C0E-47BA-A2D1-7D6A7ADAD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200395</xdr:colOff>
      <xdr:row>1</xdr:row>
      <xdr:rowOff>166992</xdr:rowOff>
    </xdr:from>
    <xdr:ext cx="2914840" cy="911678"/>
    <xdr:sp macro="" textlink="">
      <xdr:nvSpPr>
        <xdr:cNvPr id="11" name="pole tekstowe 10">
          <a:extLst>
            <a:ext uri="{FF2B5EF4-FFF2-40B4-BE49-F238E27FC236}">
              <a16:creationId xmlns:a16="http://schemas.microsoft.com/office/drawing/2014/main" id="{A61F66CF-EEB0-4C3C-A991-F7599B57F18A}"/>
            </a:ext>
          </a:extLst>
        </xdr:cNvPr>
        <xdr:cNvSpPr txBox="1"/>
      </xdr:nvSpPr>
      <xdr:spPr>
        <a:xfrm>
          <a:off x="200395" y="357492"/>
          <a:ext cx="2914840" cy="911678"/>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12000" tIns="0" rIns="36000" bIns="0" rtlCol="0" anchor="t">
          <a:noAutofit/>
        </a:bodyPr>
        <a:lstStyle/>
        <a:p>
          <a:pPr algn="l"/>
          <a:r>
            <a:rPr lang="pl-PL" sz="1200"/>
            <a:t>REVENUE</a:t>
          </a:r>
          <a:r>
            <a:rPr lang="pl-PL" sz="1800"/>
            <a:t>	</a:t>
          </a:r>
        </a:p>
        <a:p>
          <a:pPr algn="l"/>
          <a:r>
            <a:rPr lang="pl-PL" sz="3200"/>
            <a:t>88 707 zł </a:t>
          </a:r>
        </a:p>
      </xdr:txBody>
    </xdr:sp>
    <xdr:clientData/>
  </xdr:oneCellAnchor>
  <xdr:oneCellAnchor>
    <xdr:from>
      <xdr:col>5</xdr:col>
      <xdr:colOff>307972</xdr:colOff>
      <xdr:row>1</xdr:row>
      <xdr:rowOff>162509</xdr:rowOff>
    </xdr:from>
    <xdr:ext cx="2914840" cy="911678"/>
    <xdr:sp macro="" textlink="">
      <xdr:nvSpPr>
        <xdr:cNvPr id="23" name="pole tekstowe 22">
          <a:extLst>
            <a:ext uri="{FF2B5EF4-FFF2-40B4-BE49-F238E27FC236}">
              <a16:creationId xmlns:a16="http://schemas.microsoft.com/office/drawing/2014/main" id="{66264A79-A0FA-4CA5-818B-845DCB3DAAFB}"/>
            </a:ext>
          </a:extLst>
        </xdr:cNvPr>
        <xdr:cNvSpPr txBox="1"/>
      </xdr:nvSpPr>
      <xdr:spPr>
        <a:xfrm>
          <a:off x="3362541" y="353009"/>
          <a:ext cx="2914840" cy="911678"/>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12000" tIns="0" rIns="36000" bIns="0" rtlCol="0" anchor="t">
          <a:noAutofit/>
        </a:bodyPr>
        <a:lstStyle/>
        <a:p>
          <a:pPr algn="l"/>
          <a:r>
            <a:rPr lang="pl-PL" sz="1200"/>
            <a:t>GROSS PROFIT</a:t>
          </a:r>
          <a:r>
            <a:rPr lang="pl-PL" sz="1800"/>
            <a:t>	</a:t>
          </a:r>
        </a:p>
        <a:p>
          <a:pPr algn="l"/>
          <a:r>
            <a:rPr lang="pl-PL" sz="3200"/>
            <a:t>27 503 zł </a:t>
          </a:r>
        </a:p>
      </xdr:txBody>
    </xdr:sp>
    <xdr:clientData/>
  </xdr:oneCellAnchor>
  <xdr:oneCellAnchor>
    <xdr:from>
      <xdr:col>20</xdr:col>
      <xdr:colOff>593257</xdr:colOff>
      <xdr:row>1</xdr:row>
      <xdr:rowOff>161984</xdr:rowOff>
    </xdr:from>
    <xdr:ext cx="2914840" cy="911678"/>
    <xdr:sp macro="" textlink="">
      <xdr:nvSpPr>
        <xdr:cNvPr id="26" name="pole tekstowe 25">
          <a:extLst>
            <a:ext uri="{FF2B5EF4-FFF2-40B4-BE49-F238E27FC236}">
              <a16:creationId xmlns:a16="http://schemas.microsoft.com/office/drawing/2014/main" id="{74213F7E-A494-4922-BF63-55B0A13772A8}"/>
            </a:ext>
          </a:extLst>
        </xdr:cNvPr>
        <xdr:cNvSpPr txBox="1"/>
      </xdr:nvSpPr>
      <xdr:spPr>
        <a:xfrm>
          <a:off x="12825362" y="352484"/>
          <a:ext cx="2914840" cy="911678"/>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504000" tIns="0" rIns="36000" bIns="0" rtlCol="0" anchor="t">
          <a:noAutofit/>
        </a:bodyPr>
        <a:lstStyle/>
        <a:p>
          <a:pPr algn="l"/>
          <a:r>
            <a:rPr lang="pl-PL" sz="1200"/>
            <a:t>BEST CATEGORY</a:t>
          </a:r>
          <a:r>
            <a:rPr lang="pl-PL" sz="1800"/>
            <a:t>	</a:t>
          </a:r>
        </a:p>
        <a:p>
          <a:pPr algn="l"/>
          <a:r>
            <a:rPr lang="pl-PL" sz="3200"/>
            <a:t>OUTDOOR</a:t>
          </a:r>
        </a:p>
      </xdr:txBody>
    </xdr:sp>
    <xdr:clientData/>
  </xdr:oneCellAnchor>
  <xdr:oneCellAnchor>
    <xdr:from>
      <xdr:col>10</xdr:col>
      <xdr:colOff>403525</xdr:colOff>
      <xdr:row>1</xdr:row>
      <xdr:rowOff>166003</xdr:rowOff>
    </xdr:from>
    <xdr:ext cx="2914840" cy="911678"/>
    <xdr:sp macro="" textlink="">
      <xdr:nvSpPr>
        <xdr:cNvPr id="27" name="pole tekstowe 26">
          <a:extLst>
            <a:ext uri="{FF2B5EF4-FFF2-40B4-BE49-F238E27FC236}">
              <a16:creationId xmlns:a16="http://schemas.microsoft.com/office/drawing/2014/main" id="{48C5579D-CA77-41AD-A42D-EB3AA44957E9}"/>
            </a:ext>
          </a:extLst>
        </xdr:cNvPr>
        <xdr:cNvSpPr txBox="1"/>
      </xdr:nvSpPr>
      <xdr:spPr>
        <a:xfrm>
          <a:off x="6508184" y="356503"/>
          <a:ext cx="2914840" cy="911678"/>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92000" tIns="0" rIns="36000" bIns="0" rtlCol="0" anchor="t">
          <a:noAutofit/>
        </a:bodyPr>
        <a:lstStyle/>
        <a:p>
          <a:pPr algn="l"/>
          <a:r>
            <a:rPr lang="pl-PL" sz="1200"/>
            <a:t>AVERAGE MARGIN</a:t>
          </a:r>
          <a:r>
            <a:rPr lang="pl-PL" sz="1800"/>
            <a:t>     </a:t>
          </a:r>
          <a:endParaRPr lang="pl-PL" sz="1400"/>
        </a:p>
        <a:p>
          <a:pPr algn="l"/>
          <a:r>
            <a:rPr lang="pl-PL" sz="3200"/>
            <a:t>38,21% </a:t>
          </a:r>
        </a:p>
      </xdr:txBody>
    </xdr:sp>
    <xdr:clientData/>
  </xdr:oneCellAnchor>
  <xdr:oneCellAnchor>
    <xdr:from>
      <xdr:col>15</xdr:col>
      <xdr:colOff>511102</xdr:colOff>
      <xdr:row>1</xdr:row>
      <xdr:rowOff>161520</xdr:rowOff>
    </xdr:from>
    <xdr:ext cx="2914840" cy="911678"/>
    <xdr:sp macro="" textlink="">
      <xdr:nvSpPr>
        <xdr:cNvPr id="28" name="pole tekstowe 27">
          <a:extLst>
            <a:ext uri="{FF2B5EF4-FFF2-40B4-BE49-F238E27FC236}">
              <a16:creationId xmlns:a16="http://schemas.microsoft.com/office/drawing/2014/main" id="{757B9D5C-686B-44AC-B73F-622D306E8CC6}"/>
            </a:ext>
          </a:extLst>
        </xdr:cNvPr>
        <xdr:cNvSpPr txBox="1"/>
      </xdr:nvSpPr>
      <xdr:spPr>
        <a:xfrm>
          <a:off x="9668091" y="352020"/>
          <a:ext cx="2914840" cy="911678"/>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56000" tIns="0" rIns="36000" bIns="0" rtlCol="0" anchor="t">
          <a:noAutofit/>
        </a:bodyPr>
        <a:lstStyle/>
        <a:p>
          <a:pPr algn="l"/>
          <a:r>
            <a:rPr lang="pl-PL" sz="1200"/>
            <a:t>AOV</a:t>
          </a:r>
          <a:r>
            <a:rPr lang="pl-PL" sz="1800"/>
            <a:t>	</a:t>
          </a:r>
        </a:p>
        <a:p>
          <a:pPr algn="l"/>
          <a:r>
            <a:rPr lang="pl-PL" sz="3200"/>
            <a:t>~444 zł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Gal" refreshedDate="46178.51584641204" createdVersion="8" refreshedVersion="8" minRefreshableVersion="3" recordCount="200" xr:uid="{4B601736-5B0A-4D65-94D2-20FB5C66C776}">
  <cacheSource type="worksheet">
    <worksheetSource name="Processed_data"/>
  </cacheSource>
  <cacheFields count="15">
    <cacheField name="ID zamów. (Order ID)" numFmtId="0">
      <sharedItems/>
    </cacheField>
    <cacheField name="ID klienta (Client ID)" numFmtId="0">
      <sharedItems/>
    </cacheField>
    <cacheField name="Kategoria (Category)" numFmtId="0">
      <sharedItems count="4">
        <s v="Outdoor"/>
        <s v="Kosmetyki"/>
        <s v="Elektronika"/>
        <s v="Home"/>
      </sharedItems>
    </cacheField>
    <cacheField name="Produkt (Product)" numFmtId="0">
      <sharedItems/>
    </cacheField>
    <cacheField name="Kanał sprzedaży (Marketplace)" numFmtId="0">
      <sharedItems count="4">
        <s v="Empik Marketplace"/>
        <s v="Amazon"/>
        <s v="Allegro"/>
        <s v="Shopify"/>
      </sharedItems>
    </cacheField>
    <cacheField name="Miasto (City)" numFmtId="0">
      <sharedItems count="6">
        <s v="Poznań"/>
        <s v="Gdańsk"/>
        <s v="Kraków"/>
        <s v="Warszawa"/>
        <s v="Wrocław"/>
        <s v="Łódź"/>
      </sharedItems>
    </cacheField>
    <cacheField name="Ilość (Quant.)" numFmtId="0">
      <sharedItems containsSemiMixedTypes="0" containsString="0" containsNumber="1" containsInteger="1" minValue="1" maxValue="5"/>
    </cacheField>
    <cacheField name="Przychód brutto (Revenue)" numFmtId="165">
      <sharedItems containsSemiMixedTypes="0" containsString="0" containsNumber="1" minValue="7.0099444444444439" maxValue="2909.6642857142851"/>
    </cacheField>
    <cacheField name="Zysk brutto_x000a_(Gross profit)" numFmtId="165">
      <sharedItems containsSemiMixedTypes="0" containsString="0" containsNumber="1" minValue="-52.862459999999921" maxValue="1005.1457142857148"/>
    </cacheField>
    <cacheField name="Marża (Margin)" numFmtId="10">
      <sharedItems containsSemiMixedTypes="0" containsString="0" containsNumber="1" minValue="-0.14425407268499355" maxValue="0.70535964830231035"/>
    </cacheField>
    <cacheField name="Kat. marży (Margin category)" numFmtId="0">
      <sharedItems/>
    </cacheField>
    <cacheField name="Miesiąc (Month)" numFmtId="0">
      <sharedItems containsSemiMixedTypes="0" containsString="0" containsNumber="1" containsInteger="1" minValue="1" maxValue="12"/>
    </cacheField>
    <cacheField name="Miesiąc (Month)2" numFmtId="0">
      <sharedItems count="12">
        <s v="październik"/>
        <s v="kwiecień"/>
        <s v="maj"/>
        <s v="luty"/>
        <s v="listopad"/>
        <s v="sierpień"/>
        <s v="wrzesień"/>
        <s v="styczeń"/>
        <s v="grudzień"/>
        <s v="lipiec"/>
        <s v="marzec"/>
        <s v="czerwiec"/>
      </sharedItems>
    </cacheField>
    <cacheField name="Kwartał (Quarter)" numFmtId="0">
      <sharedItems containsSemiMixedTypes="0" containsString="0" containsNumber="1" containsInteger="1" minValue="1" maxValue="4"/>
    </cacheField>
    <cacheField name="Udział w przychodzie" numFmtId="0" formula="'Przychód brutto (Revenue)'/SUM('Przychód brutto (Revenue)')" databaseField="0"/>
  </cacheFields>
  <extLst>
    <ext xmlns:x14="http://schemas.microsoft.com/office/spreadsheetml/2009/9/main" uri="{725AE2AE-9491-48be-B2B4-4EB974FC3084}">
      <x14:pivotCacheDefinition pivotCacheId="530998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s v="CUST4269"/>
    <x v="0"/>
    <s v="Namiot"/>
    <x v="0"/>
    <x v="0"/>
    <n v="2"/>
    <n v="1265.8428571428574"/>
    <n v="419.25857142857166"/>
    <n v="0.33120901939983532"/>
    <s v="średnia"/>
    <n v="10"/>
    <x v="0"/>
    <n v="4"/>
  </r>
  <r>
    <s v="ORD0002"/>
    <s v="CUST2762"/>
    <x v="0"/>
    <s v="Buty trekkingowe"/>
    <x v="1"/>
    <x v="1"/>
    <n v="4"/>
    <n v="2377.6742857142858"/>
    <n v="852.35337142857156"/>
    <n v="0.35848197398177817"/>
    <s v="średnia"/>
    <n v="4"/>
    <x v="1"/>
    <n v="2"/>
  </r>
  <r>
    <s v="ORD0003"/>
    <s v="CUST7053"/>
    <x v="1"/>
    <s v="Żel pod prysznic"/>
    <x v="2"/>
    <x v="1"/>
    <n v="3"/>
    <n v="23.803333333333335"/>
    <n v="14.399066666666668"/>
    <n v="0.6049180787004621"/>
    <s v="wysoka"/>
    <n v="5"/>
    <x v="2"/>
    <n v="2"/>
  </r>
  <r>
    <s v="ORD0004"/>
    <s v="CUST7053"/>
    <x v="2"/>
    <s v="Powerbank"/>
    <x v="1"/>
    <x v="1"/>
    <n v="1"/>
    <n v="99.620434782608697"/>
    <n v="7.6659826086956535"/>
    <n v="7.6951908766753827E-2"/>
    <s v="niska"/>
    <n v="2"/>
    <x v="3"/>
    <n v="1"/>
  </r>
  <r>
    <s v="ORD0005"/>
    <s v="CUST3810"/>
    <x v="0"/>
    <s v="Buty trekkingowe"/>
    <x v="1"/>
    <x v="0"/>
    <n v="2"/>
    <n v="1019.6514285714285"/>
    <n v="277.2932571428571"/>
    <n v="0.27194906942988917"/>
    <s v="niska"/>
    <n v="11"/>
    <x v="4"/>
    <n v="4"/>
  </r>
  <r>
    <s v="ORD0006"/>
    <s v="CUST3810"/>
    <x v="1"/>
    <s v="Szampon"/>
    <x v="2"/>
    <x v="0"/>
    <n v="5"/>
    <n v="36.575000000000003"/>
    <n v="16.149000000000001"/>
    <n v="0.44153110047846889"/>
    <s v="średnia"/>
    <n v="10"/>
    <x v="0"/>
    <n v="4"/>
  </r>
  <r>
    <s v="ORD0007"/>
    <s v="CUST3810"/>
    <x v="3"/>
    <s v="Świeca zapachowa"/>
    <x v="2"/>
    <x v="0"/>
    <n v="4"/>
    <n v="187.23272727272729"/>
    <n v="92.254109090909111"/>
    <n v="0.49272427120355811"/>
    <s v="średnia"/>
    <n v="5"/>
    <x v="2"/>
    <n v="2"/>
  </r>
  <r>
    <s v="ORD0008"/>
    <s v="CUST3810"/>
    <x v="1"/>
    <s v="Krem do twarzy"/>
    <x v="1"/>
    <x v="0"/>
    <n v="1"/>
    <n v="51.369277777777782"/>
    <n v="20.20496444444445"/>
    <n v="0.39332778887510594"/>
    <s v="średnia"/>
    <n v="4"/>
    <x v="1"/>
    <n v="2"/>
  </r>
  <r>
    <s v="ORD0009"/>
    <s v="CUST3810"/>
    <x v="1"/>
    <s v="Serum"/>
    <x v="1"/>
    <x v="0"/>
    <n v="4"/>
    <n v="330.66333333333336"/>
    <n v="170.98373333333336"/>
    <n v="0.51709311585802287"/>
    <s v="średnia"/>
    <n v="8"/>
    <x v="5"/>
    <n v="3"/>
  </r>
  <r>
    <s v="ORD0010"/>
    <s v="CUST6724"/>
    <x v="0"/>
    <s v="Namiot"/>
    <x v="0"/>
    <x v="2"/>
    <n v="4"/>
    <n v="2266.8171428571432"/>
    <n v="600.13542857142886"/>
    <n v="0.2647480545409171"/>
    <s v="niska"/>
    <n v="9"/>
    <x v="6"/>
    <n v="3"/>
  </r>
  <r>
    <s v="ORD0011"/>
    <s v="CUST6724"/>
    <x v="1"/>
    <s v="Paleta cieni"/>
    <x v="2"/>
    <x v="2"/>
    <n v="1"/>
    <n v="88.711000000000013"/>
    <n v="41.614120000000014"/>
    <n v="0.46909763163531026"/>
    <s v="średnia"/>
    <n v="1"/>
    <x v="7"/>
    <n v="1"/>
  </r>
  <r>
    <s v="ORD0012"/>
    <s v="CUST6724"/>
    <x v="3"/>
    <s v="Poduszka dekoracyjna"/>
    <x v="1"/>
    <x v="2"/>
    <n v="4"/>
    <n v="197.21890909090911"/>
    <n v="53.552640000000011"/>
    <n v="0.2715390742543588"/>
    <s v="niska"/>
    <n v="12"/>
    <x v="8"/>
    <n v="4"/>
  </r>
  <r>
    <s v="ORD0013"/>
    <s v="CUST2762"/>
    <x v="1"/>
    <s v="Serum"/>
    <x v="3"/>
    <x v="1"/>
    <n v="5"/>
    <n v="417.39833333333343"/>
    <n v="267.39833333333343"/>
    <n v="0.64063105187291125"/>
    <s v="wysoka"/>
    <n v="11"/>
    <x v="4"/>
    <n v="4"/>
  </r>
  <r>
    <s v="ORD0014"/>
    <s v="CUST6724"/>
    <x v="3"/>
    <s v="Wazon szklany"/>
    <x v="2"/>
    <x v="2"/>
    <n v="1"/>
    <n v="31.613727272727278"/>
    <n v="14.084629090909097"/>
    <n v="0.44552257218527058"/>
    <s v="średnia"/>
    <n v="2"/>
    <x v="3"/>
    <n v="1"/>
  </r>
  <r>
    <s v="ORD0015"/>
    <s v="CUST4965"/>
    <x v="3"/>
    <s v="Kubek"/>
    <x v="0"/>
    <x v="3"/>
    <n v="3"/>
    <n v="54.095590909090895"/>
    <n v="21.686031818181803"/>
    <n v="0.40088353697116957"/>
    <s v="średnia"/>
    <n v="7"/>
    <x v="9"/>
    <n v="3"/>
  </r>
  <r>
    <s v="ORD0016"/>
    <s v="CUST4965"/>
    <x v="2"/>
    <s v="Klawiatura"/>
    <x v="2"/>
    <x v="3"/>
    <n v="3"/>
    <n v="396.18521739130432"/>
    <n v="34.490399999999973"/>
    <n v="8.7056251687287173E-2"/>
    <s v="niska"/>
    <n v="12"/>
    <x v="8"/>
    <n v="4"/>
  </r>
  <r>
    <s v="ORD0017"/>
    <s v="CUST4965"/>
    <x v="1"/>
    <s v="Olejek"/>
    <x v="1"/>
    <x v="3"/>
    <n v="5"/>
    <n v="57.861111111111107"/>
    <n v="25.917777777777776"/>
    <n v="0.44793086893903022"/>
    <s v="średnia"/>
    <n v="2"/>
    <x v="3"/>
    <n v="1"/>
  </r>
  <r>
    <s v="ORD0018"/>
    <s v="CUST1876"/>
    <x v="0"/>
    <s v="Śpiwór"/>
    <x v="2"/>
    <x v="4"/>
    <n v="5"/>
    <n v="1931.2714285714287"/>
    <n v="426.76971428571437"/>
    <n v="0.22097862991811468"/>
    <s v="niska"/>
    <n v="11"/>
    <x v="4"/>
    <n v="4"/>
  </r>
  <r>
    <s v="ORD0019"/>
    <s v="CUST1876"/>
    <x v="1"/>
    <s v="Żel pod prysznic"/>
    <x v="1"/>
    <x v="4"/>
    <n v="3"/>
    <n v="18.8765"/>
    <n v="9.1113199999999992"/>
    <n v="0.48268058167562838"/>
    <s v="średnia"/>
    <n v="11"/>
    <x v="4"/>
    <n v="4"/>
  </r>
  <r>
    <s v="ORD0020"/>
    <s v="CUST1876"/>
    <x v="1"/>
    <s v="Szampon"/>
    <x v="3"/>
    <x v="4"/>
    <n v="1"/>
    <n v="11.878888888888888"/>
    <n v="8.3788888888888877"/>
    <n v="0.70535964830231035"/>
    <s v="wysoka"/>
    <n v="2"/>
    <x v="3"/>
    <n v="1"/>
  </r>
  <r>
    <s v="ORD0021"/>
    <s v="CUST1876"/>
    <x v="1"/>
    <s v="Krem do twarzy"/>
    <x v="0"/>
    <x v="4"/>
    <n v="3"/>
    <n v="189.63666666666668"/>
    <n v="95.673000000000016"/>
    <n v="0.50450686400309364"/>
    <s v="średnia"/>
    <n v="9"/>
    <x v="6"/>
    <n v="3"/>
  </r>
  <r>
    <s v="ORD0022"/>
    <s v="CUST1876"/>
    <x v="1"/>
    <s v="Serum"/>
    <x v="3"/>
    <x v="4"/>
    <n v="5"/>
    <n v="375.49333333333334"/>
    <n v="225.49333333333334"/>
    <n v="0.60052553085718341"/>
    <s v="wysoka"/>
    <n v="1"/>
    <x v="7"/>
    <n v="1"/>
  </r>
  <r>
    <s v="ORD0023"/>
    <s v="CUST8574"/>
    <x v="0"/>
    <s v="Latarka"/>
    <x v="3"/>
    <x v="1"/>
    <n v="2"/>
    <n v="79.020999999999987"/>
    <n v="23.020999999999987"/>
    <n v="0.29132762177142774"/>
    <s v="niska"/>
    <n v="5"/>
    <x v="2"/>
    <n v="2"/>
  </r>
  <r>
    <s v="ORD0024"/>
    <s v="CUST7265"/>
    <x v="0"/>
    <s v="Namiot"/>
    <x v="1"/>
    <x v="4"/>
    <n v="5"/>
    <n v="2909.6642857142851"/>
    <n v="760.5045714285709"/>
    <n v="0.26137193048780771"/>
    <s v="niska"/>
    <n v="5"/>
    <x v="2"/>
    <n v="2"/>
  </r>
  <r>
    <s v="ORD0025"/>
    <s v="CUST8574"/>
    <x v="3"/>
    <s v="Poduszka dekoracyjna"/>
    <x v="2"/>
    <x v="1"/>
    <n v="5"/>
    <n v="364.47727272727269"/>
    <n v="185.31909090909087"/>
    <n v="0.50845170543119034"/>
    <s v="średnia"/>
    <n v="7"/>
    <x v="9"/>
    <n v="3"/>
  </r>
  <r>
    <s v="ORD0026"/>
    <s v="CUST4198"/>
    <x v="1"/>
    <s v="Paleta cieni"/>
    <x v="1"/>
    <x v="1"/>
    <n v="5"/>
    <n v="613.83888888888896"/>
    <n v="340.1782222222223"/>
    <n v="0.55418160755174639"/>
    <s v="średnia"/>
    <n v="9"/>
    <x v="6"/>
    <n v="3"/>
  </r>
  <r>
    <s v="ORD0027"/>
    <s v="CUST4198"/>
    <x v="3"/>
    <s v="Świeca zapachowa"/>
    <x v="2"/>
    <x v="1"/>
    <n v="1"/>
    <n v="43.647318181818193"/>
    <n v="20.155532727272735"/>
    <n v="0.46178169855275925"/>
    <s v="średnia"/>
    <n v="3"/>
    <x v="10"/>
    <n v="1"/>
  </r>
  <r>
    <s v="ORD0028"/>
    <s v="CUST4198"/>
    <x v="3"/>
    <s v="Wazon szklany"/>
    <x v="2"/>
    <x v="1"/>
    <n v="3"/>
    <n v="104.64272727272729"/>
    <n v="51.271309090909099"/>
    <n v="0.4899653365998593"/>
    <s v="średnia"/>
    <n v="10"/>
    <x v="0"/>
    <n v="4"/>
  </r>
  <r>
    <s v="ORD0029"/>
    <s v="CUST4198"/>
    <x v="3"/>
    <s v="Poduszka dekoracyjna"/>
    <x v="3"/>
    <x v="1"/>
    <n v="2"/>
    <n v="128.12545454545455"/>
    <n v="68.125454545454545"/>
    <n v="0.53170897841604114"/>
    <s v="średnia"/>
    <n v="1"/>
    <x v="7"/>
    <n v="1"/>
  </r>
  <r>
    <s v="ORD0030"/>
    <s v="CUST4198"/>
    <x v="3"/>
    <s v="Wazon szklany"/>
    <x v="0"/>
    <x v="1"/>
    <n v="2"/>
    <n v="54.63000000000001"/>
    <n v="19.167000000000009"/>
    <n v="0.35085118066996168"/>
    <s v="średnia"/>
    <n v="8"/>
    <x v="5"/>
    <n v="3"/>
  </r>
  <r>
    <s v="ORD0031"/>
    <s v="CUST4198"/>
    <x v="1"/>
    <s v="Olejek"/>
    <x v="1"/>
    <x v="1"/>
    <n v="3"/>
    <n v="48.36999999999999"/>
    <n v="27.565599999999993"/>
    <n v="0.56989042795120937"/>
    <s v="średnia"/>
    <n v="1"/>
    <x v="7"/>
    <n v="1"/>
  </r>
  <r>
    <s v="ORD0032"/>
    <s v="CUST3552"/>
    <x v="1"/>
    <s v="Krem do twarzy"/>
    <x v="0"/>
    <x v="1"/>
    <n v="5"/>
    <n v="285.50555555555559"/>
    <n v="131.95500000000004"/>
    <n v="0.46218014827498988"/>
    <s v="średnia"/>
    <n v="12"/>
    <x v="8"/>
    <n v="4"/>
  </r>
  <r>
    <s v="ORD0033"/>
    <s v="CUST3552"/>
    <x v="1"/>
    <s v="Serum"/>
    <x v="2"/>
    <x v="1"/>
    <n v="2"/>
    <n v="187.36666666666665"/>
    <n v="112.37733333333331"/>
    <n v="0.59977228251200854"/>
    <s v="średnia"/>
    <n v="6"/>
    <x v="11"/>
    <n v="2"/>
  </r>
  <r>
    <s v="ORD0034"/>
    <s v="CUST3552"/>
    <x v="0"/>
    <s v="Bidon"/>
    <x v="0"/>
    <x v="1"/>
    <n v="3"/>
    <n v="83.435785714285714"/>
    <n v="30.092207142857141"/>
    <n v="0.36066307622371696"/>
    <s v="średnia"/>
    <n v="9"/>
    <x v="6"/>
    <n v="3"/>
  </r>
  <r>
    <s v="ORD0035"/>
    <s v="CUST7265"/>
    <x v="0"/>
    <s v="Namiot"/>
    <x v="0"/>
    <x v="4"/>
    <n v="3"/>
    <n v="1666.4067857142861"/>
    <n v="419.76610714285749"/>
    <n v="0.25189894252796718"/>
    <s v="niska"/>
    <n v="12"/>
    <x v="8"/>
    <n v="4"/>
  </r>
  <r>
    <s v="ORD0036"/>
    <s v="CUST8430"/>
    <x v="1"/>
    <s v="Paleta cieni"/>
    <x v="1"/>
    <x v="3"/>
    <n v="1"/>
    <n v="110.08600000000001"/>
    <n v="56.87568000000001"/>
    <n v="0.51664771178896507"/>
    <s v="średnia"/>
    <n v="1"/>
    <x v="7"/>
    <n v="1"/>
  </r>
  <r>
    <s v="ORD0037"/>
    <s v="CUST8430"/>
    <x v="1"/>
    <s v="Żel pod prysznic"/>
    <x v="2"/>
    <x v="3"/>
    <n v="2"/>
    <n v="15.635555555555555"/>
    <n v="9.3847111111111108"/>
    <n v="0.60021603183627059"/>
    <s v="wysoka"/>
    <n v="11"/>
    <x v="4"/>
    <n v="4"/>
  </r>
  <r>
    <s v="ORD0038"/>
    <s v="CUST8430"/>
    <x v="0"/>
    <s v="Buty trekkingowe"/>
    <x v="0"/>
    <x v="3"/>
    <n v="3"/>
    <n v="1383.1842857142856"/>
    <n v="314.86585714285701"/>
    <n v="0.22763839959348453"/>
    <s v="niska"/>
    <n v="12"/>
    <x v="8"/>
    <n v="4"/>
  </r>
  <r>
    <s v="ORD0039"/>
    <s v="CUST8430"/>
    <x v="1"/>
    <s v="Olejek"/>
    <x v="2"/>
    <x v="3"/>
    <n v="4"/>
    <n v="53.795333333333332"/>
    <n v="29.491706666666666"/>
    <n v="0.54822053957592354"/>
    <s v="średnia"/>
    <n v="8"/>
    <x v="5"/>
    <n v="3"/>
  </r>
  <r>
    <s v="ORD0040"/>
    <s v="CUST8430"/>
    <x v="0"/>
    <s v="Namiot"/>
    <x v="1"/>
    <x v="3"/>
    <n v="5"/>
    <n v="2909.6642857142851"/>
    <n v="760.5045714285709"/>
    <n v="0.26137193048780771"/>
    <s v="niska"/>
    <n v="9"/>
    <x v="6"/>
    <n v="3"/>
  </r>
  <r>
    <s v="ORD0041"/>
    <s v="CUST4886"/>
    <x v="3"/>
    <s v="Kubek"/>
    <x v="3"/>
    <x v="4"/>
    <n v="4"/>
    <n v="88.951090909090908"/>
    <n v="52.951090909090908"/>
    <n v="0.59528320977207083"/>
    <s v="średnia"/>
    <n v="3"/>
    <x v="10"/>
    <n v="1"/>
  </r>
  <r>
    <s v="ORD0042"/>
    <s v="CUST4886"/>
    <x v="1"/>
    <s v="Żel pod prysznic"/>
    <x v="2"/>
    <x v="4"/>
    <n v="4"/>
    <n v="23.944000000000003"/>
    <n v="12.028480000000002"/>
    <n v="0.50235883728700303"/>
    <s v="średnia"/>
    <n v="10"/>
    <x v="0"/>
    <n v="4"/>
  </r>
  <r>
    <s v="ORD0043"/>
    <s v="CUST4886"/>
    <x v="0"/>
    <s v="Śpiwór"/>
    <x v="2"/>
    <x v="4"/>
    <n v="3"/>
    <n v="1339.6716428571426"/>
    <n v="422.49791142857123"/>
    <n v="0.31537422896218215"/>
    <s v="średnia"/>
    <n v="6"/>
    <x v="11"/>
    <n v="2"/>
  </r>
  <r>
    <s v="ORD0044"/>
    <s v="CUST4886"/>
    <x v="1"/>
    <s v="Szampon"/>
    <x v="0"/>
    <x v="4"/>
    <n v="2"/>
    <n v="18.657777777777774"/>
    <n v="9.7919999999999963"/>
    <n v="0.52482134349690324"/>
    <s v="średnia"/>
    <n v="4"/>
    <x v="1"/>
    <n v="2"/>
  </r>
  <r>
    <s v="ORD0045"/>
    <s v="CUST4886"/>
    <x v="3"/>
    <s v="Świeca zapachowa"/>
    <x v="0"/>
    <x v="4"/>
    <n v="3"/>
    <n v="114.50427272727273"/>
    <n v="43.05384545454546"/>
    <n v="0.37600208646441935"/>
    <s v="średnia"/>
    <n v="7"/>
    <x v="9"/>
    <n v="3"/>
  </r>
  <r>
    <s v="ORD0046"/>
    <s v="CUST7265"/>
    <x v="2"/>
    <s v="Powerbank"/>
    <x v="1"/>
    <x v="4"/>
    <n v="3"/>
    <n v="347.95402173913044"/>
    <n v="66.199539130434786"/>
    <n v="0.19025369731195746"/>
    <s v="niska"/>
    <n v="1"/>
    <x v="7"/>
    <n v="1"/>
  </r>
  <r>
    <s v="ORD0047"/>
    <s v="CUST3365"/>
    <x v="1"/>
    <s v="Krem do twarzy"/>
    <x v="0"/>
    <x v="4"/>
    <n v="2"/>
    <n v="139.10322222222223"/>
    <n v="75.192900000000009"/>
    <n v="0.54055469599314343"/>
    <s v="średnia"/>
    <n v="5"/>
    <x v="2"/>
    <n v="2"/>
  </r>
  <r>
    <s v="ORD0048"/>
    <s v="CUST3365"/>
    <x v="2"/>
    <s v="Myszka"/>
    <x v="1"/>
    <x v="4"/>
    <n v="3"/>
    <n v="243.57652173913047"/>
    <n v="4.3473391304348148"/>
    <n v="1.7847939938524938E-2"/>
    <s v="niska"/>
    <n v="11"/>
    <x v="4"/>
    <n v="4"/>
  </r>
  <r>
    <s v="ORD0049"/>
    <s v="CUST5776"/>
    <x v="0"/>
    <s v="Latarka"/>
    <x v="2"/>
    <x v="2"/>
    <n v="5"/>
    <n v="175.9075"/>
    <n v="21.834899999999998"/>
    <n v="0.12412716910876453"/>
    <s v="niska"/>
    <n v="12"/>
    <x v="8"/>
    <n v="4"/>
  </r>
  <r>
    <s v="ORD0050"/>
    <s v="CUST2763"/>
    <x v="1"/>
    <s v="Serum"/>
    <x v="0"/>
    <x v="5"/>
    <n v="3"/>
    <n v="212.733"/>
    <n v="101.4597"/>
    <n v="0.47693446714896137"/>
    <s v="średnia"/>
    <n v="4"/>
    <x v="1"/>
    <n v="2"/>
  </r>
  <r>
    <s v="ORD0051"/>
    <s v="CUST3324"/>
    <x v="1"/>
    <s v="Paleta cieni"/>
    <x v="0"/>
    <x v="2"/>
    <n v="5"/>
    <n v="520.50555555555547"/>
    <n v="268.45499999999993"/>
    <n v="0.51575818381701544"/>
    <s v="średnia"/>
    <n v="1"/>
    <x v="7"/>
    <n v="1"/>
  </r>
  <r>
    <s v="ORD0052"/>
    <s v="CUST6309"/>
    <x v="3"/>
    <s v="Kubek"/>
    <x v="3"/>
    <x v="5"/>
    <n v="3"/>
    <n v="52.104545454545459"/>
    <n v="25.104545454545459"/>
    <n v="0.48181104422925941"/>
    <s v="średnia"/>
    <n v="3"/>
    <x v="10"/>
    <n v="1"/>
  </r>
  <r>
    <s v="ORD0053"/>
    <s v="CUST4573"/>
    <x v="1"/>
    <s v="Olejek"/>
    <x v="1"/>
    <x v="1"/>
    <n v="1"/>
    <n v="14.688055555555554"/>
    <n v="7.9254888888888875"/>
    <n v="0.5395873442139304"/>
    <s v="średnia"/>
    <n v="7"/>
    <x v="9"/>
    <n v="3"/>
  </r>
  <r>
    <s v="ORD0054"/>
    <s v="CUST5339"/>
    <x v="1"/>
    <s v="Szampon"/>
    <x v="0"/>
    <x v="0"/>
    <n v="3"/>
    <n v="30.553333333333335"/>
    <n v="16.998000000000001"/>
    <n v="0.55633864281038625"/>
    <s v="średnia"/>
    <n v="1"/>
    <x v="7"/>
    <n v="1"/>
  </r>
  <r>
    <s v="ORD0055"/>
    <s v="CUST5339"/>
    <x v="1"/>
    <s v="Żel pod prysznic"/>
    <x v="2"/>
    <x v="0"/>
    <n v="3"/>
    <n v="21.216666666666661"/>
    <n v="12.019333333333329"/>
    <n v="0.56650432050274935"/>
    <s v="średnia"/>
    <n v="7"/>
    <x v="9"/>
    <n v="3"/>
  </r>
  <r>
    <s v="ORD0056"/>
    <s v="CUST5339"/>
    <x v="1"/>
    <s v="Szampon"/>
    <x v="2"/>
    <x v="0"/>
    <n v="4"/>
    <n v="42.36"/>
    <n v="24.9712"/>
    <n v="0.58949952785646842"/>
    <s v="średnia"/>
    <n v="7"/>
    <x v="9"/>
    <n v="3"/>
  </r>
  <r>
    <s v="ORD0057"/>
    <s v="CUST7265"/>
    <x v="3"/>
    <s v="Poduszka dekoracyjna"/>
    <x v="0"/>
    <x v="4"/>
    <n v="1"/>
    <n v="72.359772727272727"/>
    <n v="35.123795454545451"/>
    <n v="0.48540499963879979"/>
    <s v="średnia"/>
    <n v="6"/>
    <x v="11"/>
    <n v="2"/>
  </r>
  <r>
    <s v="ORD0058"/>
    <s v="CUST5339"/>
    <x v="1"/>
    <s v="Krem do twarzy"/>
    <x v="3"/>
    <x v="0"/>
    <n v="5"/>
    <n v="308.25555555555559"/>
    <n v="183.25555555555559"/>
    <n v="0.59449230436506506"/>
    <s v="średnia"/>
    <n v="8"/>
    <x v="5"/>
    <n v="3"/>
  </r>
  <r>
    <s v="ORD0059"/>
    <s v="CUST6342"/>
    <x v="3"/>
    <s v="Świeca zapachowa"/>
    <x v="3"/>
    <x v="3"/>
    <n v="3"/>
    <n v="115.59545454545457"/>
    <n v="55.595454545454572"/>
    <n v="0.48094844874365944"/>
    <s v="średnia"/>
    <n v="7"/>
    <x v="9"/>
    <n v="3"/>
  </r>
  <r>
    <s v="ORD0060"/>
    <s v="CUST2395"/>
    <x v="0"/>
    <s v="Bidon"/>
    <x v="3"/>
    <x v="3"/>
    <n v="2"/>
    <n v="52.366714285714281"/>
    <n v="22.366714285714281"/>
    <n v="0.42711700725924584"/>
    <s v="średnia"/>
    <n v="3"/>
    <x v="10"/>
    <n v="1"/>
  </r>
  <r>
    <s v="ORD0061"/>
    <s v="CUST6916"/>
    <x v="0"/>
    <s v="Buty trekkingowe"/>
    <x v="1"/>
    <x v="4"/>
    <n v="1"/>
    <n v="500.77857142857135"/>
    <n v="130.68514285714281"/>
    <n v="0.26096392759845377"/>
    <s v="niska"/>
    <n v="9"/>
    <x v="6"/>
    <n v="3"/>
  </r>
  <r>
    <s v="ORD0062"/>
    <s v="CUST4545"/>
    <x v="1"/>
    <s v="Serum"/>
    <x v="0"/>
    <x v="2"/>
    <n v="2"/>
    <n v="156.64666666666665"/>
    <n v="80.981999999999985"/>
    <n v="0.51697237945269603"/>
    <s v="średnia"/>
    <n v="3"/>
    <x v="10"/>
    <n v="1"/>
  </r>
  <r>
    <s v="ORD0063"/>
    <s v="CUST1668"/>
    <x v="1"/>
    <s v="Paleta cieni"/>
    <x v="0"/>
    <x v="2"/>
    <n v="3"/>
    <n v="272.14499999999992"/>
    <n v="124.93049999999994"/>
    <n v="0.45905859008984173"/>
    <s v="średnia"/>
    <n v="8"/>
    <x v="5"/>
    <n v="3"/>
  </r>
  <r>
    <s v="ORD0064"/>
    <s v="CUST1668"/>
    <x v="2"/>
    <s v="Głośnik"/>
    <x v="1"/>
    <x v="2"/>
    <n v="2"/>
    <n v="368.47130434782611"/>
    <n v="64.25474782608697"/>
    <n v="0.17438195883344113"/>
    <s v="niska"/>
    <n v="3"/>
    <x v="10"/>
    <n v="1"/>
  </r>
  <r>
    <s v="ORD0065"/>
    <s v="CUST1668"/>
    <x v="2"/>
    <s v="Klawiatura"/>
    <x v="2"/>
    <x v="2"/>
    <n v="4"/>
    <n v="472.17669565217392"/>
    <n v="-5.5974399999999989"/>
    <n v="-1.1854545240249042E-2"/>
    <s v="niska"/>
    <n v="10"/>
    <x v="0"/>
    <n v="4"/>
  </r>
  <r>
    <s v="ORD0066"/>
    <s v="CUST1668"/>
    <x v="1"/>
    <s v="Olejek"/>
    <x v="3"/>
    <x v="2"/>
    <n v="4"/>
    <n v="61.071111111111115"/>
    <n v="41.071111111111115"/>
    <n v="0.67251291754603015"/>
    <s v="wysoka"/>
    <n v="10"/>
    <x v="0"/>
    <n v="4"/>
  </r>
  <r>
    <s v="ORD0067"/>
    <s v="CUST1668"/>
    <x v="1"/>
    <s v="Żel pod prysznic"/>
    <x v="2"/>
    <x v="2"/>
    <n v="1"/>
    <n v="7.2685555555555554"/>
    <n v="4.187071111111111"/>
    <n v="0.57605270801167896"/>
    <s v="średnia"/>
    <n v="11"/>
    <x v="4"/>
    <n v="4"/>
  </r>
  <r>
    <s v="ORD0068"/>
    <s v="CUST9351"/>
    <x v="0"/>
    <s v="Śpiwór"/>
    <x v="0"/>
    <x v="4"/>
    <n v="1"/>
    <n v="529.41857142857145"/>
    <n v="206.47671428571431"/>
    <n v="0.39000655705855214"/>
    <s v="średnia"/>
    <n v="7"/>
    <x v="9"/>
    <n v="3"/>
  </r>
  <r>
    <s v="ORD0069"/>
    <s v="CUST2161"/>
    <x v="1"/>
    <s v="Szampon"/>
    <x v="2"/>
    <x v="3"/>
    <n v="2"/>
    <n v="19.325222222222223"/>
    <n v="10.779204444444446"/>
    <n v="0.55777906822977463"/>
    <s v="średnia"/>
    <n v="11"/>
    <x v="4"/>
    <n v="4"/>
  </r>
  <r>
    <s v="ORD0070"/>
    <s v="CUST9917"/>
    <x v="0"/>
    <s v="Namiot"/>
    <x v="0"/>
    <x v="0"/>
    <n v="4"/>
    <n v="2716.8285714285721"/>
    <n v="1005.1457142857148"/>
    <n v="0.36997023840822818"/>
    <s v="średnia"/>
    <n v="2"/>
    <x v="3"/>
    <n v="1"/>
  </r>
  <r>
    <s v="ORD0071"/>
    <s v="CUST3536"/>
    <x v="1"/>
    <s v="Krem do twarzy"/>
    <x v="0"/>
    <x v="1"/>
    <n v="4"/>
    <n v="298.71555555555562"/>
    <n v="168.84400000000005"/>
    <n v="0.56523336953772452"/>
    <s v="średnia"/>
    <n v="11"/>
    <x v="4"/>
    <n v="4"/>
  </r>
  <r>
    <s v="ORD0072"/>
    <s v="CUST1476"/>
    <x v="3"/>
    <s v="Poduszka dekoracyjna"/>
    <x v="2"/>
    <x v="3"/>
    <n v="3"/>
    <n v="217.04999999999998"/>
    <n v="109.68599999999998"/>
    <n v="0.50534899792674493"/>
    <s v="średnia"/>
    <n v="8"/>
    <x v="5"/>
    <n v="3"/>
  </r>
  <r>
    <s v="ORD0073"/>
    <s v="CUST1476"/>
    <x v="1"/>
    <s v="Serum"/>
    <x v="1"/>
    <x v="3"/>
    <n v="2"/>
    <n v="163.7466666666667"/>
    <n v="84.097066666666692"/>
    <n v="0.51358032733490766"/>
    <s v="średnia"/>
    <n v="12"/>
    <x v="8"/>
    <n v="4"/>
  </r>
  <r>
    <s v="ORD0074"/>
    <s v="CUST1476"/>
    <x v="1"/>
    <s v="Paleta cieni"/>
    <x v="2"/>
    <x v="3"/>
    <n v="2"/>
    <n v="233.9688888888889"/>
    <n v="135.25137777777778"/>
    <n v="0.5780741978990559"/>
    <s v="średnia"/>
    <n v="12"/>
    <x v="8"/>
    <n v="4"/>
  </r>
  <r>
    <s v="ORD0075"/>
    <s v="CUST1476"/>
    <x v="1"/>
    <s v="Olejek"/>
    <x v="3"/>
    <x v="3"/>
    <n v="4"/>
    <n v="59.293333333333337"/>
    <n v="39.293333333333337"/>
    <n v="0.66269395097818751"/>
    <s v="wysoka"/>
    <n v="7"/>
    <x v="9"/>
    <n v="3"/>
  </r>
  <r>
    <s v="ORD0076"/>
    <s v="CUST1476"/>
    <x v="2"/>
    <s v="Powerbank"/>
    <x v="1"/>
    <x v="3"/>
    <n v="3"/>
    <n v="265.09826086956525"/>
    <n v="-6.7135304347825766"/>
    <n v="-2.5324686826541633E-2"/>
    <s v="niska"/>
    <n v="7"/>
    <x v="9"/>
    <n v="3"/>
  </r>
  <r>
    <s v="ORD0077"/>
    <s v="CUST1476"/>
    <x v="0"/>
    <s v="Śpiwór"/>
    <x v="3"/>
    <x v="3"/>
    <n v="2"/>
    <n v="980.41428571428582"/>
    <n v="440.41428571428582"/>
    <n v="0.44921243206224781"/>
    <s v="średnia"/>
    <n v="9"/>
    <x v="6"/>
    <n v="3"/>
  </r>
  <r>
    <s v="ORD0078"/>
    <s v="CUST1476"/>
    <x v="1"/>
    <s v="Żel pod prysznic"/>
    <x v="1"/>
    <x v="3"/>
    <n v="1"/>
    <n v="8.456666666666667"/>
    <n v="4.9418666666666669"/>
    <n v="0.58437524635396132"/>
    <s v="średnia"/>
    <n v="12"/>
    <x v="8"/>
    <n v="4"/>
  </r>
  <r>
    <s v="ORD0079"/>
    <s v="CUST9351"/>
    <x v="2"/>
    <s v="Myszka"/>
    <x v="3"/>
    <x v="4"/>
    <n v="5"/>
    <n v="376.59619565217383"/>
    <n v="26.596195652173833"/>
    <n v="7.0622581850875138E-2"/>
    <s v="niska"/>
    <n v="6"/>
    <x v="11"/>
    <n v="2"/>
  </r>
  <r>
    <s v="ORD0080"/>
    <s v="CUST4579"/>
    <x v="0"/>
    <s v="Latarka"/>
    <x v="2"/>
    <x v="1"/>
    <n v="3"/>
    <n v="124.17"/>
    <n v="30.236400000000003"/>
    <n v="0.24350809374244989"/>
    <s v="niska"/>
    <n v="9"/>
    <x v="6"/>
    <n v="3"/>
  </r>
  <r>
    <s v="ORD0081"/>
    <s v="CUST4579"/>
    <x v="1"/>
    <s v="Szampon"/>
    <x v="3"/>
    <x v="1"/>
    <n v="1"/>
    <n v="9.0534444444444429"/>
    <n v="5.5534444444444429"/>
    <n v="0.61340680649476553"/>
    <s v="wysoka"/>
    <n v="10"/>
    <x v="0"/>
    <n v="4"/>
  </r>
  <r>
    <s v="ORD0082"/>
    <s v="CUST4579"/>
    <x v="3"/>
    <s v="Wazon szklany"/>
    <x v="3"/>
    <x v="1"/>
    <n v="3"/>
    <n v="117.51545454545455"/>
    <n v="72.515454545454546"/>
    <n v="0.61707164241453738"/>
    <s v="wysoka"/>
    <n v="1"/>
    <x v="7"/>
    <n v="1"/>
  </r>
  <r>
    <s v="ORD0083"/>
    <s v="CUST6077"/>
    <x v="0"/>
    <s v="Bidon"/>
    <x v="3"/>
    <x v="1"/>
    <n v="4"/>
    <n v="97.601142857142847"/>
    <n v="37.601142857142847"/>
    <n v="0.38525310008079522"/>
    <s v="średnia"/>
    <n v="7"/>
    <x v="9"/>
    <n v="3"/>
  </r>
  <r>
    <s v="ORD0084"/>
    <s v="CUST6077"/>
    <x v="3"/>
    <s v="Poduszka dekoracyjna"/>
    <x v="0"/>
    <x v="1"/>
    <n v="4"/>
    <n v="239.29290909090912"/>
    <n v="95.363618181818211"/>
    <n v="0.39852254103187351"/>
    <s v="średnia"/>
    <n v="10"/>
    <x v="0"/>
    <n v="4"/>
  </r>
  <r>
    <s v="ORD0085"/>
    <s v="CUST7768"/>
    <x v="0"/>
    <s v="Buty trekkingowe"/>
    <x v="2"/>
    <x v="5"/>
    <n v="2"/>
    <n v="1069.2792857142858"/>
    <n v="363.73694285714294"/>
    <n v="0.3401701947439898"/>
    <s v="średnia"/>
    <n v="12"/>
    <x v="8"/>
    <n v="4"/>
  </r>
  <r>
    <s v="ORD0086"/>
    <s v="CUST7768"/>
    <x v="0"/>
    <s v="Namiot"/>
    <x v="2"/>
    <x v="5"/>
    <n v="3"/>
    <n v="1378.2495000000004"/>
    <n v="187.98954000000032"/>
    <n v="0.13639732138484378"/>
    <s v="niska"/>
    <n v="11"/>
    <x v="4"/>
    <n v="4"/>
  </r>
  <r>
    <s v="ORD0087"/>
    <s v="CUST7768"/>
    <x v="2"/>
    <s v="Powerbank"/>
    <x v="3"/>
    <x v="5"/>
    <n v="4"/>
    <n v="444.89913043478265"/>
    <n v="124.89913043478265"/>
    <n v="0.28073583850955963"/>
    <s v="niska"/>
    <n v="4"/>
    <x v="1"/>
    <n v="2"/>
  </r>
  <r>
    <s v="ORD0088"/>
    <s v="CUST7768"/>
    <x v="1"/>
    <s v="Krem do twarzy"/>
    <x v="1"/>
    <x v="5"/>
    <n v="5"/>
    <n v="324.39444444444439"/>
    <n v="160.46711111111108"/>
    <n v="0.49466664383209741"/>
    <s v="średnia"/>
    <n v="1"/>
    <x v="7"/>
    <n v="1"/>
  </r>
  <r>
    <s v="ORD0089"/>
    <s v="CUST7768"/>
    <x v="2"/>
    <s v="Myszka"/>
    <x v="0"/>
    <x v="5"/>
    <n v="3"/>
    <n v="209.6221304347826"/>
    <n v="-21.340082608695656"/>
    <n v="-0.10180262248281537"/>
    <s v="niska"/>
    <n v="8"/>
    <x v="5"/>
    <n v="3"/>
  </r>
  <r>
    <s v="ORD0090"/>
    <s v="CUST9834"/>
    <x v="0"/>
    <s v="Latarka"/>
    <x v="0"/>
    <x v="1"/>
    <n v="5"/>
    <n v="194.80500000000004"/>
    <n v="35.324500000000029"/>
    <n v="0.18133261466594811"/>
    <s v="niska"/>
    <n v="11"/>
    <x v="4"/>
    <n v="4"/>
  </r>
  <r>
    <s v="ORD0091"/>
    <s v="CUST7768"/>
    <x v="1"/>
    <s v="Serum"/>
    <x v="1"/>
    <x v="5"/>
    <n v="3"/>
    <n v="234.33300000000006"/>
    <n v="116.21304000000005"/>
    <n v="0.49593117486653615"/>
    <s v="średnia"/>
    <n v="12"/>
    <x v="8"/>
    <n v="4"/>
  </r>
  <r>
    <s v="ORD0092"/>
    <s v="CUST7768"/>
    <x v="2"/>
    <s v="Głośnik"/>
    <x v="3"/>
    <x v="5"/>
    <n v="4"/>
    <n v="715.48217391304354"/>
    <n v="195.48217391304354"/>
    <n v="0.27321739246686189"/>
    <s v="niska"/>
    <n v="11"/>
    <x v="4"/>
    <n v="4"/>
  </r>
  <r>
    <s v="ORD0093"/>
    <s v="CUST1505"/>
    <x v="0"/>
    <s v="Śpiwór"/>
    <x v="3"/>
    <x v="1"/>
    <n v="1"/>
    <n v="429.18692857142855"/>
    <n v="159.18692857142855"/>
    <n v="0.37090348744145279"/>
    <s v="średnia"/>
    <n v="8"/>
    <x v="5"/>
    <n v="3"/>
  </r>
  <r>
    <s v="ORD0094"/>
    <s v="CUST9433"/>
    <x v="1"/>
    <s v="Paleta cieni"/>
    <x v="2"/>
    <x v="1"/>
    <n v="1"/>
    <n v="100.82138888888888"/>
    <n v="52.755677777777763"/>
    <n v="0.52325878823111271"/>
    <s v="średnia"/>
    <n v="9"/>
    <x v="6"/>
    <n v="3"/>
  </r>
  <r>
    <s v="ORD0095"/>
    <s v="CUST9332"/>
    <x v="0"/>
    <s v="Latarka"/>
    <x v="0"/>
    <x v="1"/>
    <n v="1"/>
    <n v="45.190000000000005"/>
    <n v="12.671000000000003"/>
    <n v="0.2803938924540828"/>
    <s v="niska"/>
    <n v="9"/>
    <x v="6"/>
    <n v="3"/>
  </r>
  <r>
    <s v="ORD0096"/>
    <s v="CUST6247"/>
    <x v="1"/>
    <s v="Krem do twarzy"/>
    <x v="0"/>
    <x v="5"/>
    <n v="2"/>
    <n v="123.80222222222223"/>
    <n v="61.422000000000004"/>
    <n v="0.49613002818114915"/>
    <s v="średnia"/>
    <n v="3"/>
    <x v="10"/>
    <n v="1"/>
  </r>
  <r>
    <s v="ORD0097"/>
    <s v="CUST3314"/>
    <x v="2"/>
    <s v="Myszka"/>
    <x v="0"/>
    <x v="5"/>
    <n v="1"/>
    <n v="86.96054347826086"/>
    <n v="8.2644891304347734"/>
    <n v="9.5037229528134232E-2"/>
    <s v="niska"/>
    <n v="10"/>
    <x v="0"/>
    <n v="4"/>
  </r>
  <r>
    <s v="ORD0098"/>
    <s v="CUST8117"/>
    <x v="3"/>
    <s v="Wazon szklany"/>
    <x v="3"/>
    <x v="3"/>
    <n v="2"/>
    <n v="65.798727272727277"/>
    <n v="35.798727272727277"/>
    <n v="0.54406412945262828"/>
    <s v="średnia"/>
    <n v="1"/>
    <x v="7"/>
    <n v="1"/>
  </r>
  <r>
    <s v="ORD0099"/>
    <s v="CUST8117"/>
    <x v="1"/>
    <s v="Olejek"/>
    <x v="3"/>
    <x v="3"/>
    <n v="5"/>
    <n v="68.563611111111101"/>
    <n v="43.563611111111101"/>
    <n v="0.63537509773973067"/>
    <s v="wysoka"/>
    <n v="2"/>
    <x v="3"/>
    <n v="1"/>
  </r>
  <r>
    <s v="ORD0100"/>
    <s v="CUST8117"/>
    <x v="1"/>
    <s v="Żel pod prysznic"/>
    <x v="0"/>
    <x v="3"/>
    <n v="3"/>
    <n v="19.786666666666665"/>
    <n v="10.307999999999998"/>
    <n v="0.52095687331536378"/>
    <s v="średnia"/>
    <n v="3"/>
    <x v="10"/>
    <n v="1"/>
  </r>
  <r>
    <s v="ORD0101"/>
    <s v="CUST5218"/>
    <x v="0"/>
    <s v="Bidon"/>
    <x v="1"/>
    <x v="2"/>
    <n v="3"/>
    <n v="71.628642857142836"/>
    <n v="18.033205714285696"/>
    <n v="0.25175970107728235"/>
    <s v="niska"/>
    <n v="6"/>
    <x v="11"/>
    <n v="2"/>
  </r>
  <r>
    <s v="ORD0102"/>
    <s v="CUST8117"/>
    <x v="0"/>
    <s v="Bidon"/>
    <x v="3"/>
    <x v="3"/>
    <n v="5"/>
    <n v="128.17857142857142"/>
    <n v="53.178571428571416"/>
    <n v="0.41487879632209523"/>
    <s v="średnia"/>
    <n v="9"/>
    <x v="6"/>
    <n v="3"/>
  </r>
  <r>
    <s v="ORD0103"/>
    <s v="CUST8117"/>
    <x v="2"/>
    <s v="Głośnik"/>
    <x v="0"/>
    <x v="3"/>
    <n v="2"/>
    <n v="282.83317391304354"/>
    <n v="-5.4501434782608165"/>
    <n v="-1.9269816913119433E-2"/>
    <s v="niska"/>
    <n v="10"/>
    <x v="0"/>
    <n v="4"/>
  </r>
  <r>
    <s v="ORD0104"/>
    <s v="CUST3771"/>
    <x v="0"/>
    <s v="Buty trekkingowe"/>
    <x v="0"/>
    <x v="5"/>
    <n v="1"/>
    <n v="593.77857142857147"/>
    <n v="224.40071428571432"/>
    <n v="0.37791985949548296"/>
    <s v="średnia"/>
    <n v="2"/>
    <x v="3"/>
    <n v="1"/>
  </r>
  <r>
    <s v="ORD0105"/>
    <s v="CUST3771"/>
    <x v="3"/>
    <s v="Kubek"/>
    <x v="3"/>
    <x v="5"/>
    <n v="2"/>
    <n v="35.38636363636364"/>
    <n v="17.38636363636364"/>
    <n v="0.49132947976878616"/>
    <s v="średnia"/>
    <n v="9"/>
    <x v="6"/>
    <n v="3"/>
  </r>
  <r>
    <s v="ORD0106"/>
    <s v="CUST3771"/>
    <x v="1"/>
    <s v="Szampon"/>
    <x v="1"/>
    <x v="5"/>
    <n v="2"/>
    <n v="16.255555555555556"/>
    <n v="7.3048888888888897"/>
    <n v="0.44937799043062204"/>
    <s v="średnia"/>
    <n v="9"/>
    <x v="6"/>
    <n v="3"/>
  </r>
  <r>
    <s v="ORD0107"/>
    <s v="CUST2870"/>
    <x v="2"/>
    <s v="Klawiatura"/>
    <x v="2"/>
    <x v="0"/>
    <n v="1"/>
    <n v="126.79317391304346"/>
    <n v="6.6497199999999843"/>
    <n v="5.2445410070422686E-2"/>
    <s v="niska"/>
    <n v="5"/>
    <x v="2"/>
    <n v="2"/>
  </r>
  <r>
    <s v="ORD0108"/>
    <s v="CUST2870"/>
    <x v="0"/>
    <s v="Namiot"/>
    <x v="0"/>
    <x v="0"/>
    <n v="2"/>
    <n v="1348.5085714285715"/>
    <n v="493.65771428571429"/>
    <n v="0.36607680866481063"/>
    <s v="średnia"/>
    <n v="5"/>
    <x v="2"/>
    <n v="2"/>
  </r>
  <r>
    <s v="ORD0109"/>
    <s v="CUST1956"/>
    <x v="0"/>
    <s v="Śpiwór"/>
    <x v="1"/>
    <x v="3"/>
    <n v="2"/>
    <n v="938.70771428571436"/>
    <n v="286.06278857142865"/>
    <n v="0.30474106499604176"/>
    <s v="średnia"/>
    <n v="1"/>
    <x v="7"/>
    <n v="1"/>
  </r>
  <r>
    <s v="ORD0110"/>
    <s v="CUST1956"/>
    <x v="0"/>
    <s v="Latarka"/>
    <x v="3"/>
    <x v="3"/>
    <n v="5"/>
    <n v="261.20250000000004"/>
    <n v="121.20250000000004"/>
    <n v="0.4640173811506399"/>
    <s v="średnia"/>
    <n v="1"/>
    <x v="7"/>
    <n v="1"/>
  </r>
  <r>
    <s v="ORD0111"/>
    <s v="CUST1956"/>
    <x v="3"/>
    <s v="Świeca zapachowa"/>
    <x v="0"/>
    <x v="3"/>
    <n v="4"/>
    <n v="153.62018181818183"/>
    <n v="58.258163636363648"/>
    <n v="0.37923509103325681"/>
    <s v="średnia"/>
    <n v="5"/>
    <x v="2"/>
    <n v="2"/>
  </r>
  <r>
    <s v="ORD0112"/>
    <s v="CUST4269"/>
    <x v="1"/>
    <s v="Szampon"/>
    <x v="1"/>
    <x v="0"/>
    <n v="2"/>
    <n v="17.474111111111114"/>
    <n v="8.3772177777777799"/>
    <n v="0.47940737726287147"/>
    <s v="średnia"/>
    <n v="10"/>
    <x v="0"/>
    <n v="4"/>
  </r>
  <r>
    <s v="ORD0113"/>
    <s v="CUST5218"/>
    <x v="1"/>
    <s v="Serum"/>
    <x v="3"/>
    <x v="2"/>
    <n v="4"/>
    <n v="280.63600000000002"/>
    <n v="160.63600000000002"/>
    <n v="0.57239983466126942"/>
    <s v="średnia"/>
    <n v="3"/>
    <x v="10"/>
    <n v="1"/>
  </r>
  <r>
    <s v="ORD0114"/>
    <s v="CUST1956"/>
    <x v="0"/>
    <s v="Bidon"/>
    <x v="0"/>
    <x v="3"/>
    <n v="4"/>
    <n v="102.50028571428571"/>
    <n v="32.250257142857137"/>
    <n v="0.31463577801873721"/>
    <s v="średnia"/>
    <n v="2"/>
    <x v="3"/>
    <n v="1"/>
  </r>
  <r>
    <s v="ORD0115"/>
    <s v="CUST4001"/>
    <x v="1"/>
    <s v="Paleta cieni"/>
    <x v="2"/>
    <x v="0"/>
    <n v="2"/>
    <n v="242.85777777777776"/>
    <n v="143.42915555555552"/>
    <n v="0.59058909649909408"/>
    <s v="średnia"/>
    <n v="6"/>
    <x v="11"/>
    <n v="2"/>
  </r>
  <r>
    <s v="ORD0116"/>
    <s v="CUST4001"/>
    <x v="1"/>
    <s v="Paleta cieni"/>
    <x v="2"/>
    <x v="0"/>
    <n v="4"/>
    <n v="264.80222222222221"/>
    <n v="83.618044444444436"/>
    <n v="0.31577546344861152"/>
    <s v="średnia"/>
    <n v="8"/>
    <x v="5"/>
    <n v="3"/>
  </r>
  <r>
    <s v="ORD0117"/>
    <s v="CUST7722"/>
    <x v="2"/>
    <s v="Głośnik"/>
    <x v="0"/>
    <x v="2"/>
    <n v="1"/>
    <n v="184.2401086956522"/>
    <n v="35.816097826086974"/>
    <n v="0.19439902678982832"/>
    <s v="niska"/>
    <n v="11"/>
    <x v="4"/>
    <n v="4"/>
  </r>
  <r>
    <s v="ORD0118"/>
    <s v="CUST7722"/>
    <x v="2"/>
    <s v="Klawiatura"/>
    <x v="0"/>
    <x v="2"/>
    <n v="5"/>
    <n v="617.51086956521738"/>
    <n v="5.7597826086956374"/>
    <n v="9.3274189857597764E-3"/>
    <s v="niska"/>
    <n v="9"/>
    <x v="6"/>
    <n v="3"/>
  </r>
  <r>
    <s v="ORD0119"/>
    <s v="CUST7722"/>
    <x v="1"/>
    <s v="Olejek"/>
    <x v="0"/>
    <x v="2"/>
    <n v="4"/>
    <n v="55.643999999999998"/>
    <n v="30.079599999999999"/>
    <n v="0.54057220904320324"/>
    <s v="średnia"/>
    <n v="7"/>
    <x v="9"/>
    <n v="3"/>
  </r>
  <r>
    <s v="ORD0120"/>
    <s v="CUST7722"/>
    <x v="1"/>
    <s v="Żel pod prysznic"/>
    <x v="2"/>
    <x v="2"/>
    <n v="4"/>
    <n v="26.139777777777777"/>
    <n v="14.048595555555554"/>
    <n v="0.53744127723605573"/>
    <s v="średnia"/>
    <n v="7"/>
    <x v="9"/>
    <n v="3"/>
  </r>
  <r>
    <s v="ORD0121"/>
    <s v="CUST7722"/>
    <x v="1"/>
    <s v="Olejek"/>
    <x v="2"/>
    <x v="2"/>
    <n v="5"/>
    <n v="65.572777777777773"/>
    <n v="35.32695555555555"/>
    <n v="0.53874422821123258"/>
    <s v="średnia"/>
    <n v="1"/>
    <x v="7"/>
    <n v="1"/>
  </r>
  <r>
    <s v="ORD0122"/>
    <s v="CUST7722"/>
    <x v="2"/>
    <s v="Powerbank"/>
    <x v="1"/>
    <x v="2"/>
    <n v="4"/>
    <n v="468.24695652173921"/>
    <n v="92.057321739130515"/>
    <n v="0.1965999361169507"/>
    <s v="niska"/>
    <n v="11"/>
    <x v="4"/>
    <n v="4"/>
  </r>
  <r>
    <s v="ORD0123"/>
    <s v="CUST8225"/>
    <x v="2"/>
    <s v="Myszka"/>
    <x v="0"/>
    <x v="2"/>
    <n v="5"/>
    <n v="421.17826086956529"/>
    <n v="29.060434782608759"/>
    <n v="6.8997945721629941E-2"/>
    <s v="niska"/>
    <n v="3"/>
    <x v="10"/>
    <n v="1"/>
  </r>
  <r>
    <s v="ORD0124"/>
    <s v="CUST4269"/>
    <x v="1"/>
    <s v="Krem do twarzy"/>
    <x v="0"/>
    <x v="0"/>
    <n v="5"/>
    <n v="267.20500000000004"/>
    <n v="115.48450000000004"/>
    <n v="0.4321943825901462"/>
    <s v="średnia"/>
    <n v="1"/>
    <x v="7"/>
    <n v="1"/>
  </r>
  <r>
    <s v="ORD0125"/>
    <s v="CUST8225"/>
    <x v="0"/>
    <s v="Buty trekkingowe"/>
    <x v="3"/>
    <x v="2"/>
    <n v="1"/>
    <n v="404.67771428571433"/>
    <n v="94.67771428571433"/>
    <n v="0.23395831038738418"/>
    <s v="niska"/>
    <n v="8"/>
    <x v="5"/>
    <n v="3"/>
  </r>
  <r>
    <s v="ORD0126"/>
    <s v="CUST8225"/>
    <x v="1"/>
    <s v="Szampon"/>
    <x v="0"/>
    <x v="2"/>
    <n v="3"/>
    <n v="30.513000000000005"/>
    <n v="16.961700000000004"/>
    <n v="0.5558843771507227"/>
    <s v="średnia"/>
    <n v="2"/>
    <x v="3"/>
    <n v="1"/>
  </r>
  <r>
    <s v="ORD0127"/>
    <s v="CUST8225"/>
    <x v="1"/>
    <s v="Żel pod prysznic"/>
    <x v="0"/>
    <x v="2"/>
    <n v="5"/>
    <n v="36.454999999999998"/>
    <n v="20.3095"/>
    <n v="0.55711150733781378"/>
    <s v="średnia"/>
    <n v="1"/>
    <x v="7"/>
    <n v="1"/>
  </r>
  <r>
    <s v="ORD0128"/>
    <s v="CUST8225"/>
    <x v="0"/>
    <s v="Namiot"/>
    <x v="3"/>
    <x v="2"/>
    <n v="3"/>
    <n v="1775.9057142857141"/>
    <n v="695.90571428571411"/>
    <n v="0.39185960644628809"/>
    <s v="średnia"/>
    <n v="12"/>
    <x v="8"/>
    <n v="4"/>
  </r>
  <r>
    <s v="ORD0129"/>
    <s v="CUST8883"/>
    <x v="0"/>
    <s v="Śpiwór"/>
    <x v="2"/>
    <x v="1"/>
    <n v="2"/>
    <n v="787.55714285714294"/>
    <n v="184.5525714285715"/>
    <n v="0.23433546772116315"/>
    <s v="niska"/>
    <n v="2"/>
    <x v="3"/>
    <n v="1"/>
  </r>
  <r>
    <s v="ORD0130"/>
    <s v="CUST8883"/>
    <x v="3"/>
    <s v="Wazon szklany"/>
    <x v="1"/>
    <x v="1"/>
    <n v="1"/>
    <n v="26.654454545454541"/>
    <n v="8.4559199999999972"/>
    <n v="0.31724228254530196"/>
    <s v="średnia"/>
    <n v="10"/>
    <x v="0"/>
    <n v="4"/>
  </r>
  <r>
    <s v="ORD0131"/>
    <s v="CUST8883"/>
    <x v="0"/>
    <s v="Latarka"/>
    <x v="1"/>
    <x v="1"/>
    <n v="1"/>
    <n v="46.140000000000008"/>
    <n v="12.603200000000008"/>
    <n v="0.27315127871694855"/>
    <s v="niska"/>
    <n v="4"/>
    <x v="1"/>
    <n v="2"/>
  </r>
  <r>
    <s v="ORD0132"/>
    <s v="CUST5826"/>
    <x v="0"/>
    <s v="Śpiwór"/>
    <x v="1"/>
    <x v="0"/>
    <n v="1"/>
    <n v="525.11142857142852"/>
    <n v="192.0980571428571"/>
    <n v="0.36582341707066252"/>
    <s v="średnia"/>
    <n v="12"/>
    <x v="8"/>
    <n v="4"/>
  </r>
  <r>
    <s v="ORD0133"/>
    <s v="CUST5826"/>
    <x v="2"/>
    <s v="Głośnik"/>
    <x v="1"/>
    <x v="0"/>
    <n v="5"/>
    <n v="803.3195652173913"/>
    <n v="56.921217391304353"/>
    <n v="7.0857501616931926E-2"/>
    <s v="niska"/>
    <n v="5"/>
    <x v="2"/>
    <n v="2"/>
  </r>
  <r>
    <s v="ORD0134"/>
    <s v="CUST5826"/>
    <x v="0"/>
    <s v="Latarka"/>
    <x v="3"/>
    <x v="0"/>
    <n v="3"/>
    <n v="157.77000000000001"/>
    <n v="73.77000000000001"/>
    <n v="0.46757938771629592"/>
    <s v="średnia"/>
    <n v="9"/>
    <x v="6"/>
    <n v="3"/>
  </r>
  <r>
    <s v="ORD0135"/>
    <s v="CUST4269"/>
    <x v="0"/>
    <s v="Śpiwór"/>
    <x v="2"/>
    <x v="0"/>
    <n v="4"/>
    <n v="1798.323142857143"/>
    <n v="574.45729142857158"/>
    <n v="0.31944052642056547"/>
    <s v="średnia"/>
    <n v="2"/>
    <x v="3"/>
    <n v="1"/>
  </r>
  <r>
    <s v="ORD0136"/>
    <s v="CUST9657"/>
    <x v="0"/>
    <s v="Bidon"/>
    <x v="1"/>
    <x v="2"/>
    <n v="2"/>
    <n v="50.40857142857142"/>
    <n v="14.35954285714285"/>
    <n v="0.28486311851725887"/>
    <s v="niska"/>
    <n v="9"/>
    <x v="6"/>
    <n v="3"/>
  </r>
  <r>
    <s v="ORD0137"/>
    <s v="CUST9657"/>
    <x v="1"/>
    <s v="Krem do twarzy"/>
    <x v="0"/>
    <x v="2"/>
    <n v="3"/>
    <n v="205.6465"/>
    <n v="110.08185"/>
    <n v="0.53529649179538674"/>
    <s v="średnia"/>
    <n v="4"/>
    <x v="1"/>
    <n v="2"/>
  </r>
  <r>
    <s v="ORD0138"/>
    <s v="CUST7044"/>
    <x v="0"/>
    <s v="Buty trekkingowe"/>
    <x v="0"/>
    <x v="2"/>
    <n v="5"/>
    <n v="2552.4321428571429"/>
    <n v="747.18892857142862"/>
    <n v="0.29273605986447099"/>
    <s v="niska"/>
    <n v="7"/>
    <x v="9"/>
    <n v="3"/>
  </r>
  <r>
    <s v="ORD0139"/>
    <s v="CUST7044"/>
    <x v="3"/>
    <s v="Kubek"/>
    <x v="2"/>
    <x v="2"/>
    <n v="3"/>
    <n v="67.076045454545451"/>
    <n v="34.709961818181817"/>
    <n v="0.51747179761369899"/>
    <s v="średnia"/>
    <n v="12"/>
    <x v="8"/>
    <n v="4"/>
  </r>
  <r>
    <s v="ORD0140"/>
    <s v="CUST7044"/>
    <x v="2"/>
    <s v="Klawiatura"/>
    <x v="2"/>
    <x v="2"/>
    <n v="5"/>
    <n v="749.98260869565217"/>
    <n v="139.98400000000001"/>
    <n v="0.18664966144142475"/>
    <s v="niska"/>
    <n v="10"/>
    <x v="0"/>
    <n v="4"/>
  </r>
  <r>
    <s v="ORD0141"/>
    <s v="CUST3822"/>
    <x v="1"/>
    <s v="Serum"/>
    <x v="0"/>
    <x v="3"/>
    <n v="4"/>
    <n v="250.52333333333334"/>
    <n v="105.471"/>
    <n v="0.42100270101254705"/>
    <s v="średnia"/>
    <n v="4"/>
    <x v="1"/>
    <n v="2"/>
  </r>
  <r>
    <s v="ORD0142"/>
    <s v="CUST3822"/>
    <x v="0"/>
    <s v="Bidon"/>
    <x v="1"/>
    <x v="3"/>
    <n v="3"/>
    <n v="75.903642857142842"/>
    <n v="21.7952057142857"/>
    <n v="0.28714307896007235"/>
    <s v="niska"/>
    <n v="8"/>
    <x v="5"/>
    <n v="3"/>
  </r>
  <r>
    <s v="ORD0143"/>
    <s v="CUST3822"/>
    <x v="3"/>
    <s v="Świeca zapachowa"/>
    <x v="3"/>
    <x v="3"/>
    <n v="5"/>
    <n v="209.7227272727273"/>
    <n v="109.7227272727273"/>
    <n v="0.52317995621925062"/>
    <s v="średnia"/>
    <n v="8"/>
    <x v="5"/>
    <n v="3"/>
  </r>
  <r>
    <s v="ORD0144"/>
    <s v="CUST1092"/>
    <x v="0"/>
    <s v="Buty trekkingowe"/>
    <x v="2"/>
    <x v="1"/>
    <n v="3"/>
    <n v="1705.2893571428574"/>
    <n v="638.86620857142884"/>
    <n v="0.37463800843853445"/>
    <s v="średnia"/>
    <n v="6"/>
    <x v="11"/>
    <n v="2"/>
  </r>
  <r>
    <s v="ORD0145"/>
    <s v="CUST1092"/>
    <x v="0"/>
    <s v="Namiot"/>
    <x v="2"/>
    <x v="1"/>
    <n v="4"/>
    <n v="2445.8591428571426"/>
    <n v="810.19041142857122"/>
    <n v="0.33124982433867523"/>
    <s v="średnia"/>
    <n v="10"/>
    <x v="0"/>
    <n v="4"/>
  </r>
  <r>
    <s v="ORD0146"/>
    <s v="CUST1402"/>
    <x v="1"/>
    <s v="Krem do twarzy"/>
    <x v="1"/>
    <x v="3"/>
    <n v="3"/>
    <n v="192.94499999999999"/>
    <n v="94.791599999999988"/>
    <n v="0.49128819093524057"/>
    <s v="średnia"/>
    <n v="8"/>
    <x v="5"/>
    <n v="3"/>
  </r>
  <r>
    <s v="ORD0147"/>
    <s v="CUST1092"/>
    <x v="1"/>
    <s v="Paleta cieni"/>
    <x v="2"/>
    <x v="1"/>
    <n v="5"/>
    <n v="453.51555555555547"/>
    <n v="217.23431111111103"/>
    <n v="0.47900079379857108"/>
    <s v="średnia"/>
    <n v="11"/>
    <x v="4"/>
    <n v="4"/>
  </r>
  <r>
    <s v="ORD0148"/>
    <s v="CUST1092"/>
    <x v="0"/>
    <s v="Śpiwór"/>
    <x v="0"/>
    <x v="1"/>
    <n v="4"/>
    <n v="1419.7088571428574"/>
    <n v="197.73797142857163"/>
    <n v="0.13928064929207831"/>
    <s v="niska"/>
    <n v="10"/>
    <x v="0"/>
    <n v="4"/>
  </r>
  <r>
    <s v="ORD0149"/>
    <s v="CUST8570"/>
    <x v="3"/>
    <s v="Poduszka dekoracyjna"/>
    <x v="1"/>
    <x v="0"/>
    <n v="2"/>
    <n v="151.62545454545455"/>
    <n v="73.430399999999992"/>
    <n v="0.48428807827901282"/>
    <s v="średnia"/>
    <n v="11"/>
    <x v="4"/>
    <n v="4"/>
  </r>
  <r>
    <s v="ORD0150"/>
    <s v="CUST8570"/>
    <x v="0"/>
    <s v="Latarka"/>
    <x v="0"/>
    <x v="0"/>
    <n v="2"/>
    <n v="91.940999999999988"/>
    <n v="26.746899999999989"/>
    <n v="0.29091373815816657"/>
    <s v="niska"/>
    <n v="5"/>
    <x v="2"/>
    <n v="2"/>
  </r>
  <r>
    <s v="ORD0151"/>
    <s v="CUST8570"/>
    <x v="2"/>
    <s v="Powerbank"/>
    <x v="1"/>
    <x v="0"/>
    <n v="5"/>
    <n v="460.25608695652176"/>
    <n v="5.0253565217391483"/>
    <n v="1.0918609583133813E-2"/>
    <s v="niska"/>
    <n v="9"/>
    <x v="6"/>
    <n v="3"/>
  </r>
  <r>
    <s v="ORD0152"/>
    <s v="CUST6257"/>
    <x v="0"/>
    <s v="Namiot"/>
    <x v="1"/>
    <x v="3"/>
    <n v="3"/>
    <n v="1483.0388571428571"/>
    <n v="225.07419428571421"/>
    <n v="0.15176554087013611"/>
    <s v="niska"/>
    <n v="4"/>
    <x v="1"/>
    <n v="2"/>
  </r>
  <r>
    <s v="ORD0153"/>
    <s v="CUST6257"/>
    <x v="1"/>
    <s v="Szampon"/>
    <x v="0"/>
    <x v="3"/>
    <n v="5"/>
    <n v="47.42222222222221"/>
    <n v="25.179999999999989"/>
    <n v="0.53097469540768505"/>
    <s v="średnia"/>
    <n v="2"/>
    <x v="3"/>
    <n v="1"/>
  </r>
  <r>
    <s v="ORD0154"/>
    <s v="CUST6257"/>
    <x v="1"/>
    <s v="Krem do twarzy"/>
    <x v="2"/>
    <x v="3"/>
    <n v="2"/>
    <n v="130.42200000000003"/>
    <n v="69.988240000000019"/>
    <n v="0.53662909631810585"/>
    <s v="średnia"/>
    <n v="3"/>
    <x v="10"/>
    <n v="1"/>
  </r>
  <r>
    <s v="ORD0155"/>
    <s v="CUST6257"/>
    <x v="1"/>
    <s v="Olejek"/>
    <x v="1"/>
    <x v="3"/>
    <n v="4"/>
    <n v="63.16"/>
    <n v="35.580799999999996"/>
    <n v="0.56334388853704875"/>
    <s v="średnia"/>
    <n v="4"/>
    <x v="1"/>
    <n v="2"/>
  </r>
  <r>
    <s v="ORD0156"/>
    <s v="CUST6257"/>
    <x v="0"/>
    <s v="Śpiwór"/>
    <x v="2"/>
    <x v="3"/>
    <n v="1"/>
    <n v="418.6690714285715"/>
    <n v="115.17554571428578"/>
    <n v="0.27509924561966526"/>
    <s v="niska"/>
    <n v="2"/>
    <x v="3"/>
    <n v="1"/>
  </r>
  <r>
    <s v="ORD0157"/>
    <s v="CUST1402"/>
    <x v="0"/>
    <s v="Buty trekkingowe"/>
    <x v="2"/>
    <x v="3"/>
    <n v="3"/>
    <n v="1569.1842857142856"/>
    <n v="513.64954285714271"/>
    <n v="0.32733538535490225"/>
    <s v="średnia"/>
    <n v="6"/>
    <x v="11"/>
    <n v="2"/>
  </r>
  <r>
    <s v="ORD0158"/>
    <s v="CUST4999"/>
    <x v="0"/>
    <s v="Latarka"/>
    <x v="3"/>
    <x v="3"/>
    <n v="4"/>
    <n v="160.34399999999999"/>
    <n v="48.343999999999994"/>
    <n v="0.30150177119193733"/>
    <s v="średnia"/>
    <n v="10"/>
    <x v="0"/>
    <n v="4"/>
  </r>
  <r>
    <s v="ORD0159"/>
    <s v="CUST4999"/>
    <x v="1"/>
    <s v="Serum"/>
    <x v="3"/>
    <x v="3"/>
    <n v="3"/>
    <n v="189.976"/>
    <n v="99.975999999999999"/>
    <n v="0.52625594811976251"/>
    <s v="średnia"/>
    <n v="11"/>
    <x v="4"/>
    <n v="4"/>
  </r>
  <r>
    <s v="ORD0160"/>
    <s v="CUST4999"/>
    <x v="0"/>
    <s v="Bidon"/>
    <x v="3"/>
    <x v="3"/>
    <n v="5"/>
    <n v="129.96678571428569"/>
    <n v="54.966785714285692"/>
    <n v="0.42292948473098885"/>
    <s v="średnia"/>
    <n v="7"/>
    <x v="9"/>
    <n v="3"/>
  </r>
  <r>
    <s v="ORD0161"/>
    <s v="CUST6209"/>
    <x v="0"/>
    <s v="Bidon"/>
    <x v="0"/>
    <x v="4"/>
    <n v="4"/>
    <n v="95.374285714285705"/>
    <n v="25.836857142857134"/>
    <n v="0.27089961355261971"/>
    <s v="niska"/>
    <n v="7"/>
    <x v="9"/>
    <n v="3"/>
  </r>
  <r>
    <s v="ORD0162"/>
    <s v="CUST6209"/>
    <x v="0"/>
    <s v="Buty trekkingowe"/>
    <x v="0"/>
    <x v="4"/>
    <n v="1"/>
    <n v="519.76892857142855"/>
    <n v="157.7920357142857"/>
    <n v="0.30358112430455014"/>
    <s v="średnia"/>
    <n v="4"/>
    <x v="1"/>
    <n v="2"/>
  </r>
  <r>
    <s v="ORD0163"/>
    <s v="CUST6209"/>
    <x v="0"/>
    <s v="Buty trekkingowe"/>
    <x v="0"/>
    <x v="4"/>
    <n v="3"/>
    <n v="1462.8985714285716"/>
    <n v="386.60871428571443"/>
    <n v="0.26427581640754322"/>
    <s v="niska"/>
    <n v="3"/>
    <x v="10"/>
    <n v="1"/>
  </r>
  <r>
    <s v="ORD0164"/>
    <s v="CUST6209"/>
    <x v="2"/>
    <s v="Myszka"/>
    <x v="2"/>
    <x v="4"/>
    <n v="3"/>
    <n v="281.13019565217388"/>
    <n v="48.639779999999973"/>
    <n v="0.17301513943446742"/>
    <s v="niska"/>
    <n v="7"/>
    <x v="9"/>
    <n v="3"/>
  </r>
  <r>
    <s v="ORD0165"/>
    <s v="CUST6209"/>
    <x v="0"/>
    <s v="Namiot"/>
    <x v="2"/>
    <x v="4"/>
    <n v="2"/>
    <n v="1369.8810000000001"/>
    <n v="540.29052000000001"/>
    <n v="0.39440690103738935"/>
    <s v="średnia"/>
    <n v="8"/>
    <x v="5"/>
    <n v="3"/>
  </r>
  <r>
    <s v="ORD0166"/>
    <s v="CUST1466"/>
    <x v="0"/>
    <s v="Śpiwór"/>
    <x v="2"/>
    <x v="0"/>
    <n v="1"/>
    <n v="525.06142857142856"/>
    <n v="213.05651428571429"/>
    <n v="0.40577445360134734"/>
    <s v="średnia"/>
    <n v="6"/>
    <x v="11"/>
    <n v="2"/>
  </r>
  <r>
    <s v="ORD0167"/>
    <s v="CUST1466"/>
    <x v="0"/>
    <s v="Latarka"/>
    <x v="2"/>
    <x v="0"/>
    <n v="4"/>
    <n v="225.56000000000003"/>
    <n v="95.515200000000021"/>
    <n v="0.42345805993970564"/>
    <s v="średnia"/>
    <n v="11"/>
    <x v="4"/>
    <n v="4"/>
  </r>
  <r>
    <s v="ORD0168"/>
    <s v="CUST1402"/>
    <x v="2"/>
    <s v="Klawiatura"/>
    <x v="2"/>
    <x v="3"/>
    <n v="5"/>
    <n v="599.65826086956531"/>
    <n v="1.6856000000000861"/>
    <n v="2.8109343437640552E-3"/>
    <s v="niska"/>
    <n v="8"/>
    <x v="5"/>
    <n v="3"/>
  </r>
  <r>
    <s v="ORD0169"/>
    <s v="CUST1466"/>
    <x v="1"/>
    <s v="Paleta cieni"/>
    <x v="1"/>
    <x v="0"/>
    <n v="1"/>
    <n v="110.886"/>
    <n v="57.579679999999996"/>
    <n v="0.51926915931677575"/>
    <s v="średnia"/>
    <n v="6"/>
    <x v="11"/>
    <n v="2"/>
  </r>
  <r>
    <s v="ORD0170"/>
    <s v="CUST1466"/>
    <x v="0"/>
    <s v="Bidon"/>
    <x v="2"/>
    <x v="0"/>
    <n v="2"/>
    <n v="57.551428571428566"/>
    <n v="22.947314285714281"/>
    <n v="0.39872710122623239"/>
    <s v="średnia"/>
    <n v="7"/>
    <x v="9"/>
    <n v="3"/>
  </r>
  <r>
    <s v="ORD0171"/>
    <s v="CUST1571"/>
    <x v="1"/>
    <s v="Żel pod prysznic"/>
    <x v="3"/>
    <x v="0"/>
    <n v="2"/>
    <n v="15.857777777777779"/>
    <n v="10.857777777777779"/>
    <n v="0.68469730941704032"/>
    <s v="wysoka"/>
    <n v="3"/>
    <x v="10"/>
    <n v="1"/>
  </r>
  <r>
    <s v="ORD0172"/>
    <s v="CUST1571"/>
    <x v="0"/>
    <s v="Buty trekkingowe"/>
    <x v="0"/>
    <x v="0"/>
    <n v="4"/>
    <n v="1843.6857142857143"/>
    <n v="419.31714285714287"/>
    <n v="0.22743417688171211"/>
    <s v="niska"/>
    <n v="5"/>
    <x v="2"/>
    <n v="2"/>
  </r>
  <r>
    <s v="ORD0173"/>
    <s v="CUST1571"/>
    <x v="2"/>
    <s v="Głośnik"/>
    <x v="2"/>
    <x v="0"/>
    <n v="3"/>
    <n v="366.45384782608704"/>
    <n v="-52.862459999999921"/>
    <n v="-0.14425407268499355"/>
    <s v="niska"/>
    <n v="12"/>
    <x v="8"/>
    <n v="4"/>
  </r>
  <r>
    <s v="ORD0174"/>
    <s v="CUST6101"/>
    <x v="0"/>
    <s v="Namiot"/>
    <x v="1"/>
    <x v="3"/>
    <n v="1"/>
    <n v="581.49285714285713"/>
    <n v="151.71371428571427"/>
    <n v="0.26090383127172667"/>
    <s v="niska"/>
    <n v="11"/>
    <x v="4"/>
    <n v="4"/>
  </r>
  <r>
    <s v="ORD0175"/>
    <s v="CUST6101"/>
    <x v="0"/>
    <s v="Namiot"/>
    <x v="2"/>
    <x v="3"/>
    <n v="1"/>
    <n v="570.02528571428581"/>
    <n v="164.42326285714296"/>
    <n v="0.28844906880070748"/>
    <s v="niska"/>
    <n v="12"/>
    <x v="8"/>
    <n v="4"/>
  </r>
  <r>
    <s v="ORD0176"/>
    <s v="CUST6101"/>
    <x v="0"/>
    <s v="Śpiwór"/>
    <x v="3"/>
    <x v="3"/>
    <n v="2"/>
    <n v="938.7221428571429"/>
    <n v="398.7221428571429"/>
    <n v="0.42474990697840759"/>
    <s v="średnia"/>
    <n v="2"/>
    <x v="3"/>
    <n v="1"/>
  </r>
  <r>
    <s v="ORD0177"/>
    <s v="CUST6101"/>
    <x v="3"/>
    <s v="Wazon szklany"/>
    <x v="2"/>
    <x v="3"/>
    <n v="5"/>
    <n v="161.7681818181818"/>
    <n v="73.826727272727254"/>
    <n v="0.45637359858383203"/>
    <s v="średnia"/>
    <n v="3"/>
    <x v="10"/>
    <n v="1"/>
  </r>
  <r>
    <s v="ORD0178"/>
    <s v="CUST6101"/>
    <x v="1"/>
    <s v="Szampon"/>
    <x v="3"/>
    <x v="3"/>
    <n v="1"/>
    <n v="8.9943888888888885"/>
    <n v="5.4943888888888885"/>
    <n v="0.61086850443795204"/>
    <s v="wysoka"/>
    <n v="8"/>
    <x v="5"/>
    <n v="3"/>
  </r>
  <r>
    <s v="ORD0179"/>
    <s v="CUST1402"/>
    <x v="0"/>
    <s v="Latarka"/>
    <x v="0"/>
    <x v="3"/>
    <n v="4"/>
    <n v="193.464"/>
    <n v="62.117599999999996"/>
    <n v="0.32108092461646609"/>
    <s v="średnia"/>
    <n v="2"/>
    <x v="3"/>
    <n v="1"/>
  </r>
  <r>
    <s v="ORD0180"/>
    <s v="CUST3289"/>
    <x v="1"/>
    <s v="Olejek"/>
    <x v="1"/>
    <x v="3"/>
    <n v="2"/>
    <n v="26.283888888888885"/>
    <n v="13.12982222222222"/>
    <n v="0.49953879647439281"/>
    <s v="średnia"/>
    <n v="10"/>
    <x v="0"/>
    <n v="4"/>
  </r>
  <r>
    <s v="ORD0181"/>
    <s v="CUST3289"/>
    <x v="0"/>
    <s v="Latarka"/>
    <x v="0"/>
    <x v="3"/>
    <n v="3"/>
    <n v="125.07000000000002"/>
    <n v="28.563000000000017"/>
    <n v="0.228376109378748"/>
    <s v="niska"/>
    <n v="1"/>
    <x v="7"/>
    <n v="1"/>
  </r>
  <r>
    <s v="ORD0182"/>
    <s v="CUST3289"/>
    <x v="1"/>
    <s v="Żel pod prysznic"/>
    <x v="2"/>
    <x v="3"/>
    <n v="1"/>
    <n v="7.0099444444444439"/>
    <n v="3.9491488888888884"/>
    <n v="0.56336379270718584"/>
    <s v="średnia"/>
    <n v="4"/>
    <x v="1"/>
    <n v="2"/>
  </r>
  <r>
    <s v="ORD0183"/>
    <s v="CUST4653"/>
    <x v="0"/>
    <s v="Śpiwór"/>
    <x v="2"/>
    <x v="4"/>
    <n v="5"/>
    <n v="2029.95"/>
    <n v="517.55400000000009"/>
    <n v="0.25495898913766352"/>
    <s v="niska"/>
    <n v="5"/>
    <x v="2"/>
    <n v="2"/>
  </r>
  <r>
    <s v="ORD0184"/>
    <s v="CUST4653"/>
    <x v="0"/>
    <s v="Bidon"/>
    <x v="3"/>
    <x v="4"/>
    <n v="4"/>
    <n v="81.221142857142837"/>
    <n v="21.221142857142837"/>
    <n v="0.26127609278372255"/>
    <s v="niska"/>
    <n v="9"/>
    <x v="6"/>
    <n v="3"/>
  </r>
  <r>
    <s v="ORD0185"/>
    <s v="CUST4653"/>
    <x v="1"/>
    <s v="Krem do twarzy"/>
    <x v="0"/>
    <x v="4"/>
    <n v="5"/>
    <n v="350.89833333333337"/>
    <n v="190.80850000000004"/>
    <n v="0.54377146276936816"/>
    <s v="średnia"/>
    <n v="7"/>
    <x v="9"/>
    <n v="3"/>
  </r>
  <r>
    <s v="ORD0186"/>
    <s v="CUST4653"/>
    <x v="0"/>
    <s v="Buty trekkingowe"/>
    <x v="0"/>
    <x v="4"/>
    <n v="2"/>
    <n v="985.9724285714284"/>
    <n v="267.37518571428552"/>
    <n v="0.27117917090408339"/>
    <s v="niska"/>
    <n v="11"/>
    <x v="4"/>
    <n v="4"/>
  </r>
  <r>
    <s v="ORD0187"/>
    <s v="CUST4653"/>
    <x v="0"/>
    <s v="Namiot"/>
    <x v="0"/>
    <x v="4"/>
    <n v="3"/>
    <n v="1669.2557142857147"/>
    <n v="422.33014285714319"/>
    <n v="0.25300506042470611"/>
    <s v="niska"/>
    <n v="7"/>
    <x v="9"/>
    <n v="3"/>
  </r>
  <r>
    <s v="ORD0188"/>
    <s v="CUST3437"/>
    <x v="1"/>
    <s v="Szampon"/>
    <x v="2"/>
    <x v="2"/>
    <n v="5"/>
    <n v="50.429166666666667"/>
    <n v="28.894833333333334"/>
    <n v="0.57297860034702142"/>
    <s v="średnia"/>
    <n v="6"/>
    <x v="11"/>
    <n v="2"/>
  </r>
  <r>
    <s v="ORD0189"/>
    <s v="CUST3437"/>
    <x v="1"/>
    <s v="Serum"/>
    <x v="2"/>
    <x v="2"/>
    <n v="5"/>
    <n v="394.95"/>
    <n v="213.35399999999998"/>
    <n v="0.54020508925180399"/>
    <s v="średnia"/>
    <n v="1"/>
    <x v="7"/>
    <n v="1"/>
  </r>
  <r>
    <s v="ORD0190"/>
    <s v="CUST2762"/>
    <x v="0"/>
    <s v="Bidon"/>
    <x v="1"/>
    <x v="1"/>
    <n v="3"/>
    <n v="79.812214285714276"/>
    <n v="25.234748571428561"/>
    <n v="0.31617652507537775"/>
    <s v="średnia"/>
    <n v="8"/>
    <x v="5"/>
    <n v="3"/>
  </r>
  <r>
    <s v="ORD0191"/>
    <s v="CUST4533"/>
    <x v="3"/>
    <s v="Kubek"/>
    <x v="1"/>
    <x v="3"/>
    <n v="5"/>
    <n v="90.040909090909082"/>
    <n v="34.23599999999999"/>
    <n v="0.38022716946842339"/>
    <s v="średnia"/>
    <n v="12"/>
    <x v="8"/>
    <n v="4"/>
  </r>
  <r>
    <s v="ORD0192"/>
    <s v="CUST4533"/>
    <x v="0"/>
    <s v="Śpiwór"/>
    <x v="2"/>
    <x v="3"/>
    <n v="5"/>
    <n v="2550.6642857142861"/>
    <n v="996.61114285714314"/>
    <n v="0.3907261133654259"/>
    <s v="średnia"/>
    <n v="12"/>
    <x v="8"/>
    <n v="4"/>
  </r>
  <r>
    <s v="ORD0193"/>
    <s v="CUST4533"/>
    <x v="0"/>
    <s v="Latarka"/>
    <x v="1"/>
    <x v="3"/>
    <n v="4"/>
    <n v="171.00000000000003"/>
    <n v="38.480000000000025"/>
    <n v="0.225029239766082"/>
    <s v="niska"/>
    <n v="12"/>
    <x v="8"/>
    <n v="4"/>
  </r>
  <r>
    <s v="ORD0194"/>
    <s v="CUST4533"/>
    <x v="2"/>
    <s v="Powerbank"/>
    <x v="3"/>
    <x v="3"/>
    <n v="2"/>
    <n v="175.79543478260868"/>
    <n v="15.79543478260868"/>
    <n v="8.9851222826926966E-2"/>
    <s v="niska"/>
    <n v="2"/>
    <x v="3"/>
    <n v="1"/>
  </r>
  <r>
    <s v="ORD0195"/>
    <s v="CUST4533"/>
    <x v="2"/>
    <s v="Myszka"/>
    <x v="1"/>
    <x v="3"/>
    <n v="3"/>
    <n v="258.98478260869558"/>
    <n v="17.906608695652114"/>
    <n v="6.9141547682002258E-2"/>
    <s v="niska"/>
    <n v="12"/>
    <x v="8"/>
    <n v="4"/>
  </r>
  <r>
    <s v="ORD0196"/>
    <s v="CUST4479"/>
    <x v="2"/>
    <s v="Głośnik"/>
    <x v="3"/>
    <x v="2"/>
    <n v="1"/>
    <n v="196.90304347826091"/>
    <n v="66.903043478260912"/>
    <n v="0.33977658392896981"/>
    <s v="średnia"/>
    <n v="4"/>
    <x v="1"/>
    <n v="2"/>
  </r>
  <r>
    <s v="ORD0197"/>
    <s v="CUST4479"/>
    <x v="0"/>
    <s v="Bidon"/>
    <x v="1"/>
    <x v="2"/>
    <n v="5"/>
    <n v="144.14892857142857"/>
    <n v="51.851057142857144"/>
    <n v="0.3597047696207048"/>
    <s v="średnia"/>
    <n v="12"/>
    <x v="8"/>
    <n v="4"/>
  </r>
  <r>
    <s v="ORD0198"/>
    <s v="CUST4479"/>
    <x v="2"/>
    <s v="Klawiatura"/>
    <x v="1"/>
    <x v="2"/>
    <n v="1"/>
    <n v="136.65434782608696"/>
    <n v="10.255826086956528"/>
    <n v="7.5049394696234589E-2"/>
    <s v="niska"/>
    <n v="7"/>
    <x v="9"/>
    <n v="3"/>
  </r>
  <r>
    <s v="ORD0199"/>
    <s v="CUST7053"/>
    <x v="1"/>
    <s v="Paleta cieni"/>
    <x v="3"/>
    <x v="1"/>
    <n v="3"/>
    <n v="354.38483333333335"/>
    <n v="234.38483333333335"/>
    <n v="0.66138505739288134"/>
    <s v="wysoka"/>
    <n v="5"/>
    <x v="2"/>
    <n v="2"/>
  </r>
  <r>
    <s v="ORD0200"/>
    <s v="CUST7053"/>
    <x v="1"/>
    <s v="Olejek"/>
    <x v="1"/>
    <x v="1"/>
    <n v="5"/>
    <n v="48.955555555555549"/>
    <n v="18.080888888888882"/>
    <n v="0.36933272809804801"/>
    <s v="średnia"/>
    <n v="12"/>
    <x v="8"/>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2D049E-5D5A-4D29-ACAC-5E0AC9605E66}" name="Tabela przestawna4"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9">
  <location ref="B26:D39" firstHeaderRow="0" firstDataRow="1" firstDataCol="1"/>
  <pivotFields count="15">
    <pivotField showAll="0"/>
    <pivotField showAll="0"/>
    <pivotField showAll="0"/>
    <pivotField showAll="0"/>
    <pivotField showAll="0"/>
    <pivotField showAll="0"/>
    <pivotField showAll="0"/>
    <pivotField dataField="1" numFmtId="165" showAll="0"/>
    <pivotField dataField="1" numFmtId="165" showAll="0"/>
    <pivotField numFmtId="10" showAll="0"/>
    <pivotField showAll="0"/>
    <pivotField showAll="0"/>
    <pivotField axis="axisRow" showAll="0">
      <items count="13">
        <item x="7"/>
        <item x="3"/>
        <item x="10"/>
        <item x="1"/>
        <item x="2"/>
        <item x="11"/>
        <item x="9"/>
        <item x="5"/>
        <item x="6"/>
        <item x="0"/>
        <item x="4"/>
        <item x="8"/>
        <item t="default"/>
      </items>
    </pivotField>
    <pivotField showAll="0"/>
    <pivotField dragToRow="0" dragToCol="0" dragToPage="0" showAll="0" defaultSubtota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a przychodów brutto" fld="7" baseField="12" baseItem="0" numFmtId="165"/>
    <dataField name="Suma zysków brutto" fld="8" baseField="12" baseItem="0" numFmtId="165"/>
  </dataFields>
  <formats count="1">
    <format dxfId="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9C27C-F162-4F3F-BDE6-8C60FAEBE8B7}" name="Tabela przestawna3"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41">
  <location ref="B10:E15" firstHeaderRow="0" firstDataRow="1" firstDataCol="1"/>
  <pivotFields count="15">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5" showAll="0"/>
    <pivotField dataField="1" numFmtId="165" showAll="0"/>
    <pivotField dataField="1" numFmtId="10" showAll="0"/>
    <pivotField showAll="0"/>
    <pivotField showAll="0"/>
    <pivotField showAll="0"/>
    <pivotField showAll="0"/>
    <pivotField dragToRow="0" dragToCol="0" dragToPage="0" showAll="0" defaultSubtotal="0"/>
  </pivotFields>
  <rowFields count="1">
    <field x="2"/>
  </rowFields>
  <rowItems count="5">
    <i>
      <x v="3"/>
    </i>
    <i>
      <x v="2"/>
    </i>
    <i>
      <x v="1"/>
    </i>
    <i>
      <x/>
    </i>
    <i t="grand">
      <x/>
    </i>
  </rowItems>
  <colFields count="1">
    <field x="-2"/>
  </colFields>
  <colItems count="3">
    <i>
      <x/>
    </i>
    <i i="1">
      <x v="1"/>
    </i>
    <i i="2">
      <x v="2"/>
    </i>
  </colItems>
  <dataFields count="3">
    <dataField name="Suma zysków brutto" fld="8" baseField="2" baseItem="3" numFmtId="164"/>
    <dataField name="Suma przychodów brutto" fld="7" baseField="2" baseItem="3" numFmtId="164"/>
    <dataField name="Średnia marża" fld="9" subtotal="average" baseField="2" baseItem="0" numFmtId="9"/>
  </dataFields>
  <formats count="3">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chartFormats count="7">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2"/>
          </reference>
          <reference field="2" count="1" selected="0">
            <x v="2"/>
          </reference>
        </references>
      </pivotArea>
    </chartFormat>
    <chartFormat chart="2" format="10">
      <pivotArea type="data" outline="0" fieldPosition="0">
        <references count="2">
          <reference field="4294967294" count="1" selected="0">
            <x v="2"/>
          </reference>
          <reference field="2" count="1" selected="0">
            <x v="3"/>
          </reference>
        </references>
      </pivotArea>
    </chartFormat>
    <chartFormat chart="2" format="11">
      <pivotArea type="data" outline="0" fieldPosition="0">
        <references count="2">
          <reference field="4294967294" count="1" selected="0">
            <x v="2"/>
          </reference>
          <reference field="2" count="1" selected="0">
            <x v="1"/>
          </reference>
        </references>
      </pivotArea>
    </chartFormat>
    <chartFormat chart="2" format="12">
      <pivotArea type="data" outline="0" fieldPosition="0">
        <references count="2">
          <reference field="4294967294" count="1" selected="0">
            <x v="2"/>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C8142-B6AB-4E40-BC9F-D4242C78AFDE}" name="Tabela przestawna1"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72">
  <location ref="B3:E8" firstHeaderRow="0" firstDataRow="1" firstDataCol="1"/>
  <pivotFields count="15">
    <pivotField showAll="0"/>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dataField="1" numFmtId="165" showAll="0"/>
    <pivotField dataField="1" numFmtId="10" showAll="0"/>
    <pivotField showAll="0"/>
    <pivotField showAll="0"/>
    <pivotField showAll="0"/>
    <pivotField showAll="0"/>
    <pivotField dragToRow="0" dragToCol="0" dragToPage="0" showAll="0" defaultSubtotal="0"/>
  </pivotFields>
  <rowFields count="1">
    <field x="4"/>
  </rowFields>
  <rowItems count="5">
    <i>
      <x/>
    </i>
    <i>
      <x v="2"/>
    </i>
    <i>
      <x v="1"/>
    </i>
    <i>
      <x v="3"/>
    </i>
    <i t="grand">
      <x/>
    </i>
  </rowItems>
  <colFields count="1">
    <field x="-2"/>
  </colFields>
  <colItems count="3">
    <i>
      <x/>
    </i>
    <i i="1">
      <x v="1"/>
    </i>
    <i i="2">
      <x v="2"/>
    </i>
  </colItems>
  <dataFields count="3">
    <dataField name="Suma zysków brutto" fld="8" baseField="4" baseItem="0" numFmtId="164"/>
    <dataField name="Suma przychodów brutto" fld="7" baseField="4" baseItem="0" numFmtId="164"/>
    <dataField name="Średnia marża" fld="9" subtotal="average" baseField="4" baseItem="0" numFmtId="9"/>
  </dataFields>
  <formats count="2">
    <format dxfId="5">
      <pivotArea outline="0" collapsedLevelsAreSubtotals="1" fieldPosition="0">
        <references count="1">
          <reference field="4294967294" count="2" selected="0">
            <x v="0"/>
            <x v="1"/>
          </reference>
        </references>
      </pivotArea>
    </format>
    <format dxfId="4">
      <pivotArea outline="0" collapsedLevelsAreSubtotals="1" fieldPosition="0">
        <references count="1">
          <reference field="4294967294" count="1" selected="0">
            <x v="2"/>
          </reference>
        </references>
      </pivotArea>
    </format>
  </formats>
  <chartFormats count="25">
    <chartFormat chart="2" format="8"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pivotArea type="data" outline="0" fieldPosition="0">
        <references count="2">
          <reference field="4294967294" count="1" selected="0">
            <x v="2"/>
          </reference>
          <reference field="4" count="1" selected="0">
            <x v="3"/>
          </reference>
        </references>
      </pivotArea>
    </chartFormat>
    <chartFormat chart="11" format="15"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1"/>
          </reference>
        </references>
      </pivotArea>
    </chartFormat>
    <chartFormat chart="11" format="17" series="1">
      <pivotArea type="data" outline="0" fieldPosition="0">
        <references count="1">
          <reference field="4294967294" count="1" selected="0">
            <x v="2"/>
          </reference>
        </references>
      </pivotArea>
    </chartFormat>
    <chartFormat chart="12" format="18"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1"/>
          </reference>
        </references>
      </pivotArea>
    </chartFormat>
    <chartFormat chart="12" format="20" series="1">
      <pivotArea type="data" outline="0" fieldPosition="0">
        <references count="1">
          <reference field="4294967294" count="1" selected="0">
            <x v="2"/>
          </reference>
        </references>
      </pivotArea>
    </chartFormat>
    <chartFormat chart="36" format="14" series="1">
      <pivotArea type="data" outline="0" fieldPosition="0">
        <references count="1">
          <reference field="4294967294" count="1" selected="0">
            <x v="0"/>
          </reference>
        </references>
      </pivotArea>
    </chartFormat>
    <chartFormat chart="36" format="15" series="1">
      <pivotArea type="data" outline="0" fieldPosition="0">
        <references count="1">
          <reference field="4294967294" count="1" selected="0">
            <x v="1"/>
          </reference>
        </references>
      </pivotArea>
    </chartFormat>
    <chartFormat chart="36" format="16" series="1">
      <pivotArea type="data" outline="0" fieldPosition="0">
        <references count="1">
          <reference field="4294967294" count="1" selected="0">
            <x v="2"/>
          </reference>
        </references>
      </pivotArea>
    </chartFormat>
    <chartFormat chart="37" format="17" series="1">
      <pivotArea type="data" outline="0" fieldPosition="0">
        <references count="1">
          <reference field="4294967294" count="1" selected="0">
            <x v="0"/>
          </reference>
        </references>
      </pivotArea>
    </chartFormat>
    <chartFormat chart="37" format="18" series="1">
      <pivotArea type="data" outline="0" fieldPosition="0">
        <references count="1">
          <reference field="4294967294" count="1" selected="0">
            <x v="1"/>
          </reference>
        </references>
      </pivotArea>
    </chartFormat>
    <chartFormat chart="37" format="19" series="1">
      <pivotArea type="data" outline="0" fieldPosition="0">
        <references count="1">
          <reference field="4294967294" count="1" selected="0">
            <x v="2"/>
          </reference>
        </references>
      </pivotArea>
    </chartFormat>
    <chartFormat chart="38" format="14" series="1">
      <pivotArea type="data" outline="0" fieldPosition="0">
        <references count="1">
          <reference field="4294967294" count="1" selected="0">
            <x v="0"/>
          </reference>
        </references>
      </pivotArea>
    </chartFormat>
    <chartFormat chart="38" format="15" series="1">
      <pivotArea type="data" outline="0" fieldPosition="0">
        <references count="1">
          <reference field="4294967294" count="1" selected="0">
            <x v="1"/>
          </reference>
        </references>
      </pivotArea>
    </chartFormat>
    <chartFormat chart="38" format="16" series="1">
      <pivotArea type="data" outline="0" fieldPosition="0">
        <references count="1">
          <reference field="4294967294" count="1" selected="0">
            <x v="2"/>
          </reference>
        </references>
      </pivotArea>
    </chartFormat>
    <chartFormat chart="39" format="17" series="1">
      <pivotArea type="data" outline="0" fieldPosition="0">
        <references count="1">
          <reference field="4294967294" count="1" selected="0">
            <x v="0"/>
          </reference>
        </references>
      </pivotArea>
    </chartFormat>
    <chartFormat chart="39" format="18" series="1">
      <pivotArea type="data" outline="0" fieldPosition="0">
        <references count="1">
          <reference field="4294967294" count="1" selected="0">
            <x v="1"/>
          </reference>
        </references>
      </pivotArea>
    </chartFormat>
    <chartFormat chart="39" format="19" series="1">
      <pivotArea type="data" outline="0" fieldPosition="0">
        <references count="1">
          <reference field="4294967294" count="1" selected="0">
            <x v="2"/>
          </reference>
        </references>
      </pivotArea>
    </chartFormat>
    <chartFormat chart="2" format="14">
      <pivotArea type="data" outline="0" fieldPosition="0">
        <references count="2">
          <reference field="4294967294" count="1" selected="0">
            <x v="2"/>
          </reference>
          <reference field="4" count="1" selected="0">
            <x v="0"/>
          </reference>
        </references>
      </pivotArea>
    </chartFormat>
    <chartFormat chart="2" format="15">
      <pivotArea type="data" outline="0" fieldPosition="0">
        <references count="2">
          <reference field="4294967294" count="1" selected="0">
            <x v="2"/>
          </reference>
          <reference field="4" count="1" selected="0">
            <x v="2"/>
          </reference>
        </references>
      </pivotArea>
    </chartFormat>
    <chartFormat chart="2" format="16">
      <pivotArea type="data" outline="0" fieldPosition="0">
        <references count="2">
          <reference field="4294967294"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94A4FE-D08A-4A1D-B410-42A193F2942B}" name="Tabela przestawna2"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55">
  <location ref="B17:D24" firstHeaderRow="0" firstDataRow="1" firstDataCol="1"/>
  <pivotFields count="15">
    <pivotField showAll="0"/>
    <pivotField showAll="0"/>
    <pivotField showAll="0"/>
    <pivotField showAll="0"/>
    <pivotField showAll="0"/>
    <pivotField axis="axisRow" showAll="0" sortType="descending">
      <items count="7">
        <item x="1"/>
        <item x="2"/>
        <item x="5"/>
        <item x="0"/>
        <item x="3"/>
        <item x="4"/>
        <item t="default"/>
      </items>
      <autoSortScope>
        <pivotArea dataOnly="0" outline="0" fieldPosition="0">
          <references count="1">
            <reference field="4294967294" count="1" selected="0">
              <x v="0"/>
            </reference>
          </references>
        </pivotArea>
      </autoSortScope>
    </pivotField>
    <pivotField showAll="0"/>
    <pivotField dataField="1" numFmtId="165" showAll="0"/>
    <pivotField dataField="1" numFmtId="165" showAll="0"/>
    <pivotField numFmtId="10" showAll="0"/>
    <pivotField showAll="0"/>
    <pivotField showAll="0"/>
    <pivotField showAll="0"/>
    <pivotField showAll="0"/>
    <pivotField dragToRow="0" dragToCol="0" dragToPage="0" showAll="0" defaultSubtotal="0"/>
  </pivotFields>
  <rowFields count="1">
    <field x="5"/>
  </rowFields>
  <rowItems count="7">
    <i>
      <x v="4"/>
    </i>
    <i>
      <x v="5"/>
    </i>
    <i>
      <x/>
    </i>
    <i>
      <x v="3"/>
    </i>
    <i>
      <x v="1"/>
    </i>
    <i>
      <x v="2"/>
    </i>
    <i t="grand">
      <x/>
    </i>
  </rowItems>
  <colFields count="1">
    <field x="-2"/>
  </colFields>
  <colItems count="2">
    <i>
      <x/>
    </i>
    <i i="1">
      <x v="1"/>
    </i>
  </colItems>
  <dataFields count="2">
    <dataField name="Suma zysków brutto" fld="8" baseField="5" baseItem="0" numFmtId="165"/>
    <dataField name="Suma przychodów brutto" fld="7" baseField="5" baseItem="0" numFmtId="165"/>
  </dataFields>
  <formats count="1">
    <format dxfId="6">
      <pivotArea outline="0" collapsedLevelsAreSubtotals="1" fieldPosition="0"/>
    </format>
  </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K202" totalsRowCount="1" headerRowDxfId="60" dataDxfId="59" totalsRowDxfId="58">
  <autoFilter ref="A1:K201" xr:uid="{00000000-0009-0000-0100-000001000000}">
    <filterColumn colId="1">
      <filters>
        <dateGroupItem year="2025" month="1" dateTimeGrouping="month"/>
        <dateGroupItem year="2025" month="3" dateTimeGrouping="month"/>
        <dateGroupItem year="2025" month="4" dateTimeGrouping="month"/>
        <dateGroupItem year="2025" month="5" dateTimeGrouping="month"/>
        <dateGroupItem year="2025" month="6" dateTimeGrouping="month"/>
        <dateGroupItem year="2025" month="7" dateTimeGrouping="month"/>
        <dateGroupItem year="2025" month="8" dateTimeGrouping="month"/>
        <dateGroupItem year="2025" month="9" dateTimeGrouping="month"/>
        <dateGroupItem year="2025" month="10" dateTimeGrouping="month"/>
      </filters>
    </filterColumn>
  </autoFilter>
  <sortState xmlns:xlrd2="http://schemas.microsoft.com/office/spreadsheetml/2017/richdata2" ref="A2:K201">
    <sortCondition ref="A1:A201"/>
  </sortState>
  <tableColumns count="11">
    <tableColumn id="2" xr3:uid="{00000000-0010-0000-0000-000002000000}" name="ID zamów. (Order ID)" dataDxfId="57" totalsRowDxfId="56"/>
    <tableColumn id="3" xr3:uid="{00000000-0010-0000-0000-000003000000}" name="Data zamów. (Order date)" dataDxfId="55" totalsRowDxfId="54"/>
    <tableColumn id="4" xr3:uid="{00000000-0010-0000-0000-000004000000}" name="Produkt (Product)" dataDxfId="53" totalsRowDxfId="52"/>
    <tableColumn id="6" xr3:uid="{00000000-0010-0000-0000-000006000000}" name="Kanał sprzedaży (Marketplace)" dataDxfId="51" totalsRowDxfId="50"/>
    <tableColumn id="15" xr3:uid="{00000000-0010-0000-0000-00000F000000}" name="ID klienta (Client ID)" dataDxfId="49" totalsRowDxfId="48"/>
    <tableColumn id="7" xr3:uid="{00000000-0010-0000-0000-000007000000}" name="Miasto (City)" dataDxfId="47" totalsRowDxfId="46"/>
    <tableColumn id="8" xr3:uid="{00000000-0010-0000-0000-000008000000}" name="Kod poczt. (Postcode)" dataDxfId="45" totalsRowDxfId="44"/>
    <tableColumn id="9" xr3:uid="{00000000-0010-0000-0000-000009000000}" name="Cena jedn. (Price unit)" totalsRowFunction="average" dataDxfId="43" totalsRowDxfId="42"/>
    <tableColumn id="11" xr3:uid="{00000000-0010-0000-0000-00000B000000}" name="Ilość (Quant.)" totalsRowFunction="sum" dataDxfId="41" totalsRowDxfId="40"/>
    <tableColumn id="12" xr3:uid="{00000000-0010-0000-0000-00000C000000}" name="Zniżka (Discount)" totalsRowFunction="average" dataDxfId="39" totalsRowDxfId="38"/>
    <tableColumn id="13" xr3:uid="{00000000-0010-0000-0000-00000D000000}" name="Przychód brutto (Revenue)" totalsRowFunction="average" dataDxfId="37" totalsRowDxfId="36">
      <calculatedColumnFormula>(Raw_Data[[#This Row],[Cena jedn. (Price unit)]]-(Raw_Data[[#This Row],[Cena jedn. (Price unit)]]*Raw_Data[[#This Row],[Zniżka (Discount)]]))*Raw_Data[[#This Row],[Ilość (Quant.)]]</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CE347-4123-4E0A-9380-54D540247055}" name="Processed_data" displayName="Processed_data" ref="A1:N202" totalsRowCount="1" headerRowDxfId="35" totalsRowDxfId="34">
  <autoFilter ref="A1:N201" xr:uid="{BF6CE347-4123-4E0A-9380-54D540247055}"/>
  <tableColumns count="14">
    <tableColumn id="12" xr3:uid="{620A15CD-1DEF-46CC-B073-8D60A372968B}" name="ID zamów. (Order ID)" totalsRowFunction="count" dataDxfId="33" totalsRowDxfId="32">
      <calculatedColumnFormula>Raw_Data[[#This Row],[ID zamów. (Order ID)]]</calculatedColumnFormula>
    </tableColumn>
    <tableColumn id="11" xr3:uid="{7CD15B6F-0529-4570-AC28-27BBADD7C9E2}" name="ID klienta (Client ID)" totalsRowFunction="custom" dataDxfId="31" totalsRowDxfId="30">
      <calculatedColumnFormula>Raw_Data[[#This Row],[ID klienta (Client ID)]]</calculatedColumnFormula>
      <totalsRowFormula array="1">INDEX(Processed_data[ID klienta (Client ID)], _xlfn.MODE.SNGL(_xlfn.XMATCH(Processed_data[ID klienta (Client ID)],Processed_data[ID klienta (Client ID)],0)))</totalsRowFormula>
    </tableColumn>
    <tableColumn id="8" xr3:uid="{39A8A7CC-4BF0-4705-9E15-933234FAA950}" name="Kategoria (Category)" totalsRowFunction="custom" dataDxfId="29" totalsRowDxfId="28">
      <calculatedColumnFormula>_xlfn.XLOOKUP(Raw_Data[[#This Row],[Produkt (Product)]],'Product lookup table'!$A$2:$A$20,'Product lookup table'!$B$2:$B$20)</calculatedColumnFormula>
      <totalsRowFormula array="1">INDEX(Processed_data[Kategoria (Category)], _xlfn.MODE.SNGL(_xlfn.XMATCH(Processed_data[Kategoria (Category)],Processed_data[Kategoria (Category)],0)))</totalsRowFormula>
    </tableColumn>
    <tableColumn id="1" xr3:uid="{5BBB44F4-4389-4A87-A40A-EFF6F3AC9D07}" name="Produkt (Product)" totalsRowFunction="custom" dataDxfId="27" totalsRowDxfId="26">
      <calculatedColumnFormula>Raw_Data[[#This Row],[Produkt (Product)]]</calculatedColumnFormula>
      <totalsRowFormula array="1">INDEX(Processed_data[Produkt (Product)], _xlfn.MODE.SNGL(_xlfn.XMATCH(Processed_data[Produkt (Product)],Processed_data[Produkt (Product)],0)))</totalsRowFormula>
    </tableColumn>
    <tableColumn id="10" xr3:uid="{62CB7E9C-6299-47AC-A8B8-7FA64EF8E31C}" name="Kanał sprzedaży (Marketplace)" totalsRowFunction="custom" dataDxfId="25" totalsRowDxfId="24">
      <calculatedColumnFormula>Raw_Data[[#This Row],[Kanał sprzedaży (Marketplace)]]</calculatedColumnFormula>
      <totalsRowFormula array="1">INDEX(Processed_data[Kanał sprzedaży (Marketplace)], _xlfn.MODE.SNGL(_xlfn.XMATCH(Processed_data[Kanał sprzedaży (Marketplace)],Processed_data[Kanał sprzedaży (Marketplace)],0)))</totalsRowFormula>
    </tableColumn>
    <tableColumn id="15" xr3:uid="{02A58EFC-9F6D-482F-9812-F917B66A0352}" name="Miasto (City)" totalsRowFunction="custom" dataDxfId="23" totalsRowDxfId="22">
      <calculatedColumnFormula>Raw_Data[[#This Row],[Miasto (City)]]</calculatedColumnFormula>
      <totalsRowFormula array="1">INDEX(Processed_data[Miasto (City)], _xlfn.MODE.SNGL(_xlfn.XMATCH(Processed_data[Miasto (City)],Processed_data[Miasto (City)],0)))</totalsRowFormula>
    </tableColumn>
    <tableColumn id="14" xr3:uid="{A7748412-8162-444E-9113-E22B017AA9AC}" name="Ilość (Quant.)" totalsRowFunction="sum" dataDxfId="21" totalsRowDxfId="20">
      <calculatedColumnFormula>Raw_Data[[#This Row],[Ilość (Quant.)]]</calculatedColumnFormula>
    </tableColumn>
    <tableColumn id="13" xr3:uid="{AC35D07C-E637-403D-AA37-ABE12E8EFD43}" name="Przychód brutto (Revenue)" totalsRowFunction="average" dataDxfId="19" totalsRowDxfId="18">
      <calculatedColumnFormula>Raw_Data[[#This Row],[Przychód brutto (Revenue)]]</calculatedColumnFormula>
    </tableColumn>
    <tableColumn id="2" xr3:uid="{026E4C73-A7A2-42FC-8642-CB35E86354E1}" name="Zysk brutto_x000a_(Gross profit)" totalsRowFunction="sum" dataDxfId="17" totalsRowDxfId="16">
      <calculatedColumnFormula>(Raw_Data[[#This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calculatedColumnFormula>
    </tableColumn>
    <tableColumn id="3" xr3:uid="{53578A1F-3D0C-416C-82F6-7F6D29CF2E2C}" name="Marża (Margin)" totalsRowFunction="average" dataDxfId="15" totalsRowDxfId="14">
      <calculatedColumnFormula>Processed_data[[#This Row],[Zysk brutto
(Gross profit)]]/Processed_data[[#This Row],[Przychód brutto (Revenue)]]</calculatedColumnFormula>
    </tableColumn>
    <tableColumn id="4" xr3:uid="{274CAA02-1BA1-4E88-8906-49F56AF475D8}" name="Kat. marży (Margin category)" totalsRowFunction="custom" dataDxfId="13" totalsRowDxfId="12">
      <calculatedColumnFormula>IF(Processed_data[[#This Row],[Marża (Margin)]]&gt;0.6,"wysoka",IF(Processed_data[[#This Row],[Marża (Margin)]]&gt;0.3,"średnia","niska"))</calculatedColumnFormula>
      <totalsRowFormula array="1">INDEX(Processed_data[Kat. marży (Margin category)], _xlfn.MODE.SNGL(_xlfn.XMATCH(Processed_data[Kat. marży (Margin category)],Processed_data[Kat. marży (Margin category)],0)))</totalsRowFormula>
    </tableColumn>
    <tableColumn id="5" xr3:uid="{134CA3A9-26AA-4AE9-87A4-E727E5A35C1C}" name="Miesiąc (Month)" totalsRowFunction="custom" dataDxfId="11" totalsRowDxfId="10">
      <calculatedColumnFormula>MONTH(Raw_Data[[#This Row],[Data zamów. (Order date)]])</calculatedColumnFormula>
      <totalsRowFormula array="1">INDEX(Processed_data[Miesiąc (Month)], _xlfn.MODE.SNGL(_xlfn.XMATCH(Processed_data[Miesiąc (Month)],Processed_data[Miesiąc (Month)],0)))</totalsRowFormula>
    </tableColumn>
    <tableColumn id="9" xr3:uid="{8510C38D-C45C-491D-8924-5DCEF3EA6162}" name="Miesiąc (Month)2" totalsRowFunction="custom" totalsRowDxfId="9">
      <calculatedColumnFormula>TEXT(Raw_Data[[#This Row],[Data zamów. (Order date)]], "MMMM")</calculatedColumnFormula>
      <totalsRowFormula array="1">INDEX(Processed_data[Miesiąc (Month)2], _xlfn.MODE.SNGL(_xlfn.XMATCH(Processed_data[Miesiąc (Month)2],Processed_data[Miesiąc (Month)2],0)))</totalsRowFormula>
    </tableColumn>
    <tableColumn id="6" xr3:uid="{7365F193-EB7F-4BF3-9B88-606E1C22C1CF}" name="Kwartał (Quarter)" totalsRowFunction="custom" dataDxfId="8" totalsRowDxfId="7">
      <calculatedColumnFormula>IF(Processed_data[[#This Row],[Miesiąc (Month)]]&lt;=3,1,IF(Processed_data[[#This Row],[Miesiąc (Month)]]&lt;=6,2,IF(Processed_data[[#This Row],[Miesiąc (Month)]]&lt;=9,3,4)))</calculatedColumnFormula>
      <totalsRowFormula array="1">INDEX(Processed_data[Kwartał (Quarter)], _xlfn.MODE.SNGL(_xlfn.XMATCH(Processed_data[Kwartał (Quarter)],Processed_data[Kwartał (Quarter)],0)))</totalsRow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2"/>
  <sheetViews>
    <sheetView zoomScaleNormal="100" workbookViewId="0">
      <selection activeCell="K202" sqref="K202"/>
    </sheetView>
  </sheetViews>
  <sheetFormatPr defaultRowHeight="15" x14ac:dyDescent="0.25"/>
  <cols>
    <col min="1" max="1" width="10.42578125" style="6" customWidth="1"/>
    <col min="2" max="2" width="12.28515625" style="6" customWidth="1"/>
    <col min="3" max="3" width="13" style="6" customWidth="1"/>
    <col min="4" max="4" width="18.140625" style="6" bestFit="1" customWidth="1"/>
    <col min="5" max="5" width="11.28515625" style="6" customWidth="1"/>
    <col min="6" max="6" width="9.85546875" style="6" customWidth="1"/>
    <col min="7" max="7" width="11.7109375" style="6" bestFit="1" customWidth="1"/>
    <col min="8" max="8" width="11.5703125" style="6" customWidth="1"/>
    <col min="9" max="9" width="9" style="6" customWidth="1"/>
    <col min="10" max="10" width="10.7109375" style="6" customWidth="1"/>
    <col min="11" max="11" width="15.42578125" style="6" customWidth="1"/>
    <col min="12" max="12" width="9.140625" customWidth="1"/>
    <col min="14" max="14" width="15.140625" customWidth="1"/>
    <col min="15" max="17" width="9.140625" customWidth="1"/>
    <col min="18" max="18" width="9.85546875" customWidth="1"/>
    <col min="19" max="21" width="9.140625" customWidth="1"/>
    <col min="22" max="22" width="8.42578125" customWidth="1"/>
    <col min="23" max="23" width="8.85546875" customWidth="1"/>
    <col min="24" max="24" width="11.42578125" customWidth="1"/>
    <col min="26" max="26" width="5.28515625" customWidth="1"/>
    <col min="30" max="30" width="5.28515625" customWidth="1"/>
  </cols>
  <sheetData>
    <row r="1" spans="1:30" s="8" customFormat="1" ht="30" x14ac:dyDescent="0.25">
      <c r="A1" s="8" t="s">
        <v>372</v>
      </c>
      <c r="B1" s="8" t="s">
        <v>373</v>
      </c>
      <c r="C1" s="8" t="s">
        <v>374</v>
      </c>
      <c r="D1" s="8" t="s">
        <v>375</v>
      </c>
      <c r="E1" s="8" t="s">
        <v>379</v>
      </c>
      <c r="F1" s="8" t="s">
        <v>376</v>
      </c>
      <c r="G1" s="8" t="s">
        <v>377</v>
      </c>
      <c r="H1" s="8" t="s">
        <v>381</v>
      </c>
      <c r="I1" s="8" t="s">
        <v>378</v>
      </c>
      <c r="J1" s="8" t="s">
        <v>369</v>
      </c>
      <c r="K1" s="9" t="s">
        <v>382</v>
      </c>
    </row>
    <row r="2" spans="1:30" x14ac:dyDescent="0.25">
      <c r="A2" s="26" t="s">
        <v>0</v>
      </c>
      <c r="B2" s="27">
        <v>45941</v>
      </c>
      <c r="C2" s="26" t="s">
        <v>366</v>
      </c>
      <c r="D2" s="26" t="s">
        <v>3</v>
      </c>
      <c r="E2" s="26" t="s">
        <v>5</v>
      </c>
      <c r="F2" s="26" t="s">
        <v>4</v>
      </c>
      <c r="G2" s="26" t="s">
        <v>15</v>
      </c>
      <c r="H2" s="28">
        <v>632.92142857142869</v>
      </c>
      <c r="I2" s="26">
        <v>2</v>
      </c>
      <c r="J2" s="29">
        <v>0</v>
      </c>
      <c r="K2" s="30">
        <f>(Raw_Data[[#This Row],[Cena jedn. (Price unit)]]-(Raw_Data[[#This Row],[Cena jedn. (Price unit)]]*Raw_Data[[#This Row],[Zniżka (Discount)]]))*Raw_Data[[#This Row],[Ilość (Quant.)]]</f>
        <v>1265.8428571428574</v>
      </c>
    </row>
    <row r="3" spans="1:30" x14ac:dyDescent="0.25">
      <c r="A3" s="26" t="s">
        <v>7</v>
      </c>
      <c r="B3" s="27">
        <v>45750</v>
      </c>
      <c r="C3" s="26" t="s">
        <v>1</v>
      </c>
      <c r="D3" s="26" t="s">
        <v>10</v>
      </c>
      <c r="E3" s="26" t="s">
        <v>28</v>
      </c>
      <c r="F3" s="26" t="s">
        <v>14</v>
      </c>
      <c r="G3" s="26" t="s">
        <v>34</v>
      </c>
      <c r="H3" s="28">
        <v>594.41857142857145</v>
      </c>
      <c r="I3" s="26">
        <v>4</v>
      </c>
      <c r="J3" s="29">
        <v>0</v>
      </c>
      <c r="K3" s="30">
        <f>(Raw_Data[[#This Row],[Cena jedn. (Price unit)]]-(Raw_Data[[#This Row],[Cena jedn. (Price unit)]]*Raw_Data[[#This Row],[Zniżka (Discount)]]))*Raw_Data[[#This Row],[Ilość (Quant.)]]</f>
        <v>2377.6742857142858</v>
      </c>
      <c r="AD3" s="3"/>
    </row>
    <row r="4" spans="1:30" x14ac:dyDescent="0.25">
      <c r="A4" s="26" t="s">
        <v>11</v>
      </c>
      <c r="B4" s="27">
        <v>45807</v>
      </c>
      <c r="C4" s="26" t="s">
        <v>365</v>
      </c>
      <c r="D4" s="26" t="s">
        <v>13</v>
      </c>
      <c r="E4" s="26" t="s">
        <v>177</v>
      </c>
      <c r="F4" s="26" t="s">
        <v>14</v>
      </c>
      <c r="G4" s="26" t="s">
        <v>139</v>
      </c>
      <c r="H4" s="28">
        <v>7.9344444444444449</v>
      </c>
      <c r="I4" s="26">
        <v>3</v>
      </c>
      <c r="J4" s="29">
        <v>0</v>
      </c>
      <c r="K4" s="30">
        <f>(Raw_Data[[#This Row],[Cena jedn. (Price unit)]]-(Raw_Data[[#This Row],[Cena jedn. (Price unit)]]*Raw_Data[[#This Row],[Zniżka (Discount)]]))*Raw_Data[[#This Row],[Ilość (Quant.)]]</f>
        <v>23.803333333333335</v>
      </c>
      <c r="AD4" s="3"/>
    </row>
    <row r="5" spans="1:30" hidden="1" x14ac:dyDescent="0.25">
      <c r="A5" s="26" t="s">
        <v>12</v>
      </c>
      <c r="B5" s="27">
        <v>45715</v>
      </c>
      <c r="C5" s="26" t="s">
        <v>22</v>
      </c>
      <c r="D5" s="26" t="s">
        <v>10</v>
      </c>
      <c r="E5" s="26" t="s">
        <v>177</v>
      </c>
      <c r="F5" s="26" t="s">
        <v>14</v>
      </c>
      <c r="G5" s="26" t="s">
        <v>139</v>
      </c>
      <c r="H5" s="28">
        <v>99.620434782608697</v>
      </c>
      <c r="I5" s="26">
        <v>1</v>
      </c>
      <c r="J5" s="29">
        <v>0</v>
      </c>
      <c r="K5" s="30">
        <f>(Raw_Data[[#This Row],[Cena jedn. (Price unit)]]-(Raw_Data[[#This Row],[Cena jedn. (Price unit)]]*Raw_Data[[#This Row],[Zniżka (Discount)]]))*Raw_Data[[#This Row],[Ilość (Quant.)]]</f>
        <v>99.620434782608697</v>
      </c>
      <c r="AD5" s="3"/>
    </row>
    <row r="6" spans="1:30" hidden="1" x14ac:dyDescent="0.25">
      <c r="A6" s="26" t="s">
        <v>16</v>
      </c>
      <c r="B6" s="27">
        <v>45977</v>
      </c>
      <c r="C6" s="26" t="s">
        <v>1</v>
      </c>
      <c r="D6" s="26" t="s">
        <v>10</v>
      </c>
      <c r="E6" s="26" t="s">
        <v>183</v>
      </c>
      <c r="F6" s="26" t="s">
        <v>4</v>
      </c>
      <c r="G6" s="26" t="s">
        <v>182</v>
      </c>
      <c r="H6" s="28">
        <v>509.82571428571424</v>
      </c>
      <c r="I6" s="26">
        <v>2</v>
      </c>
      <c r="J6" s="29">
        <v>0</v>
      </c>
      <c r="K6" s="30">
        <f>(Raw_Data[[#This Row],[Cena jedn. (Price unit)]]-(Raw_Data[[#This Row],[Cena jedn. (Price unit)]]*Raw_Data[[#This Row],[Zniżka (Discount)]]))*Raw_Data[[#This Row],[Ilość (Quant.)]]</f>
        <v>1019.6514285714285</v>
      </c>
      <c r="AD6" s="3"/>
    </row>
    <row r="7" spans="1:30" x14ac:dyDescent="0.25">
      <c r="A7" s="26" t="s">
        <v>19</v>
      </c>
      <c r="B7" s="27">
        <v>45946</v>
      </c>
      <c r="C7" s="26" t="s">
        <v>8</v>
      </c>
      <c r="D7" s="26" t="s">
        <v>13</v>
      </c>
      <c r="E7" s="26" t="s">
        <v>183</v>
      </c>
      <c r="F7" s="26" t="s">
        <v>4</v>
      </c>
      <c r="G7" s="26" t="s">
        <v>182</v>
      </c>
      <c r="H7" s="28">
        <v>8.1277777777777782</v>
      </c>
      <c r="I7" s="26">
        <v>5</v>
      </c>
      <c r="J7" s="29">
        <v>0.1</v>
      </c>
      <c r="K7" s="30">
        <f>(Raw_Data[[#This Row],[Cena jedn. (Price unit)]]-(Raw_Data[[#This Row],[Cena jedn. (Price unit)]]*Raw_Data[[#This Row],[Zniżka (Discount)]]))*Raw_Data[[#This Row],[Ilość (Quant.)]]</f>
        <v>36.575000000000003</v>
      </c>
    </row>
    <row r="8" spans="1:30" x14ac:dyDescent="0.25">
      <c r="A8" s="26" t="s">
        <v>21</v>
      </c>
      <c r="B8" s="27">
        <v>45807</v>
      </c>
      <c r="C8" s="26" t="s">
        <v>40</v>
      </c>
      <c r="D8" s="26" t="s">
        <v>13</v>
      </c>
      <c r="E8" s="26" t="s">
        <v>183</v>
      </c>
      <c r="F8" s="26" t="s">
        <v>4</v>
      </c>
      <c r="G8" s="26" t="s">
        <v>182</v>
      </c>
      <c r="H8" s="28">
        <v>46.808181818181822</v>
      </c>
      <c r="I8" s="26">
        <v>4</v>
      </c>
      <c r="J8" s="29">
        <v>0</v>
      </c>
      <c r="K8" s="30">
        <f>(Raw_Data[[#This Row],[Cena jedn. (Price unit)]]-(Raw_Data[[#This Row],[Cena jedn. (Price unit)]]*Raw_Data[[#This Row],[Zniżka (Discount)]]))*Raw_Data[[#This Row],[Ilość (Quant.)]]</f>
        <v>187.23272727272729</v>
      </c>
    </row>
    <row r="9" spans="1:30" x14ac:dyDescent="0.25">
      <c r="A9" s="26" t="s">
        <v>24</v>
      </c>
      <c r="B9" s="27">
        <v>45753</v>
      </c>
      <c r="C9" s="26" t="s">
        <v>64</v>
      </c>
      <c r="D9" s="26" t="s">
        <v>10</v>
      </c>
      <c r="E9" s="26" t="s">
        <v>183</v>
      </c>
      <c r="F9" s="26" t="s">
        <v>4</v>
      </c>
      <c r="G9" s="26" t="s">
        <v>182</v>
      </c>
      <c r="H9" s="28">
        <v>60.434444444444452</v>
      </c>
      <c r="I9" s="26">
        <v>1</v>
      </c>
      <c r="J9" s="29">
        <v>0.15</v>
      </c>
      <c r="K9" s="30">
        <f>(Raw_Data[[#This Row],[Cena jedn. (Price unit)]]-(Raw_Data[[#This Row],[Cena jedn. (Price unit)]]*Raw_Data[[#This Row],[Zniżka (Discount)]]))*Raw_Data[[#This Row],[Ilość (Quant.)]]</f>
        <v>51.369277777777782</v>
      </c>
    </row>
    <row r="10" spans="1:30" x14ac:dyDescent="0.25">
      <c r="A10" s="26" t="s">
        <v>26</v>
      </c>
      <c r="B10" s="27">
        <v>45884</v>
      </c>
      <c r="C10" s="26" t="s">
        <v>362</v>
      </c>
      <c r="D10" s="26" t="s">
        <v>10</v>
      </c>
      <c r="E10" s="26" t="s">
        <v>183</v>
      </c>
      <c r="F10" s="26" t="s">
        <v>4</v>
      </c>
      <c r="G10" s="26" t="s">
        <v>182</v>
      </c>
      <c r="H10" s="28">
        <v>87.016666666666666</v>
      </c>
      <c r="I10" s="26">
        <v>4</v>
      </c>
      <c r="J10" s="29">
        <v>0.05</v>
      </c>
      <c r="K10" s="30">
        <f>(Raw_Data[[#This Row],[Cena jedn. (Price unit)]]-(Raw_Data[[#This Row],[Cena jedn. (Price unit)]]*Raw_Data[[#This Row],[Zniżka (Discount)]]))*Raw_Data[[#This Row],[Ilość (Quant.)]]</f>
        <v>330.66333333333336</v>
      </c>
    </row>
    <row r="11" spans="1:30" x14ac:dyDescent="0.25">
      <c r="A11" s="26" t="s">
        <v>30</v>
      </c>
      <c r="B11" s="27">
        <v>45930</v>
      </c>
      <c r="C11" s="26" t="s">
        <v>366</v>
      </c>
      <c r="D11" s="26" t="s">
        <v>3</v>
      </c>
      <c r="E11" s="26" t="s">
        <v>190</v>
      </c>
      <c r="F11" s="26" t="s">
        <v>20</v>
      </c>
      <c r="G11" s="26" t="s">
        <v>189</v>
      </c>
      <c r="H11" s="28">
        <v>566.70428571428579</v>
      </c>
      <c r="I11" s="26">
        <v>4</v>
      </c>
      <c r="J11" s="29">
        <v>0</v>
      </c>
      <c r="K11" s="30">
        <f>(Raw_Data[[#This Row],[Cena jedn. (Price unit)]]-(Raw_Data[[#This Row],[Cena jedn. (Price unit)]]*Raw_Data[[#This Row],[Zniżka (Discount)]]))*Raw_Data[[#This Row],[Ilość (Quant.)]]</f>
        <v>2266.8171428571432</v>
      </c>
    </row>
    <row r="12" spans="1:30" x14ac:dyDescent="0.25">
      <c r="A12" s="26" t="s">
        <v>32</v>
      </c>
      <c r="B12" s="27">
        <v>45676</v>
      </c>
      <c r="C12" s="26" t="s">
        <v>363</v>
      </c>
      <c r="D12" s="26" t="s">
        <v>13</v>
      </c>
      <c r="E12" s="26" t="s">
        <v>190</v>
      </c>
      <c r="F12" s="26" t="s">
        <v>20</v>
      </c>
      <c r="G12" s="26" t="s">
        <v>189</v>
      </c>
      <c r="H12" s="28">
        <v>98.567777777777792</v>
      </c>
      <c r="I12" s="26">
        <v>1</v>
      </c>
      <c r="J12" s="29">
        <v>0.1</v>
      </c>
      <c r="K12" s="30">
        <f>(Raw_Data[[#This Row],[Cena jedn. (Price unit)]]-(Raw_Data[[#This Row],[Cena jedn. (Price unit)]]*Raw_Data[[#This Row],[Zniżka (Discount)]]))*Raw_Data[[#This Row],[Ilość (Quant.)]]</f>
        <v>88.711000000000013</v>
      </c>
    </row>
    <row r="13" spans="1:30" x14ac:dyDescent="0.25">
      <c r="A13" s="26" t="s">
        <v>35</v>
      </c>
      <c r="B13" s="27">
        <v>46009</v>
      </c>
      <c r="C13" s="26" t="s">
        <v>357</v>
      </c>
      <c r="D13" s="26" t="s">
        <v>10</v>
      </c>
      <c r="E13" s="26" t="s">
        <v>190</v>
      </c>
      <c r="F13" s="26" t="s">
        <v>20</v>
      </c>
      <c r="G13" s="26" t="s">
        <v>189</v>
      </c>
      <c r="H13" s="28">
        <v>61.6309090909091</v>
      </c>
      <c r="I13" s="26">
        <v>4</v>
      </c>
      <c r="J13" s="29">
        <v>0.2</v>
      </c>
      <c r="K13" s="30">
        <f>(Raw_Data[[#This Row],[Cena jedn. (Price unit)]]-(Raw_Data[[#This Row],[Cena jedn. (Price unit)]]*Raw_Data[[#This Row],[Zniżka (Discount)]]))*Raw_Data[[#This Row],[Ilość (Quant.)]]</f>
        <v>197.21890909090911</v>
      </c>
    </row>
    <row r="14" spans="1:30" x14ac:dyDescent="0.25">
      <c r="A14" s="26" t="s">
        <v>37</v>
      </c>
      <c r="B14" s="27">
        <v>45984</v>
      </c>
      <c r="C14" s="26" t="s">
        <v>362</v>
      </c>
      <c r="D14" s="26" t="s">
        <v>33</v>
      </c>
      <c r="E14" s="26" t="s">
        <v>28</v>
      </c>
      <c r="F14" s="26" t="s">
        <v>14</v>
      </c>
      <c r="G14" s="26" t="s">
        <v>34</v>
      </c>
      <c r="H14" s="28">
        <v>87.873333333333349</v>
      </c>
      <c r="I14" s="26">
        <v>5</v>
      </c>
      <c r="J14" s="29">
        <v>0.05</v>
      </c>
      <c r="K14" s="30">
        <f>(Raw_Data[[#This Row],[Cena jedn. (Price unit)]]-(Raw_Data[[#This Row],[Cena jedn. (Price unit)]]*Raw_Data[[#This Row],[Zniżka (Discount)]]))*Raw_Data[[#This Row],[Ilość (Quant.)]]</f>
        <v>417.39833333333343</v>
      </c>
    </row>
    <row r="15" spans="1:30" hidden="1" x14ac:dyDescent="0.25">
      <c r="A15" s="26" t="s">
        <v>38</v>
      </c>
      <c r="B15" s="27">
        <v>45690</v>
      </c>
      <c r="C15" s="26" t="s">
        <v>358</v>
      </c>
      <c r="D15" s="26" t="s">
        <v>13</v>
      </c>
      <c r="E15" s="26" t="s">
        <v>190</v>
      </c>
      <c r="F15" s="26" t="s">
        <v>20</v>
      </c>
      <c r="G15" s="26" t="s">
        <v>189</v>
      </c>
      <c r="H15" s="28">
        <v>35.126363636363642</v>
      </c>
      <c r="I15" s="26">
        <v>1</v>
      </c>
      <c r="J15" s="29">
        <v>0.1</v>
      </c>
      <c r="K15" s="30">
        <f>(Raw_Data[[#This Row],[Cena jedn. (Price unit)]]-(Raw_Data[[#This Row],[Cena jedn. (Price unit)]]*Raw_Data[[#This Row],[Zniżka (Discount)]]))*Raw_Data[[#This Row],[Ilość (Quant.)]]</f>
        <v>31.613727272727278</v>
      </c>
    </row>
    <row r="16" spans="1:30" x14ac:dyDescent="0.25">
      <c r="A16" s="26" t="s">
        <v>39</v>
      </c>
      <c r="B16" s="27">
        <v>45846</v>
      </c>
      <c r="C16" s="26" t="s">
        <v>209</v>
      </c>
      <c r="D16" s="26" t="s">
        <v>3</v>
      </c>
      <c r="E16" s="26" t="s">
        <v>65</v>
      </c>
      <c r="F16" s="26" t="s">
        <v>17</v>
      </c>
      <c r="G16" s="26" t="s">
        <v>195</v>
      </c>
      <c r="H16" s="28">
        <v>18.980909090909087</v>
      </c>
      <c r="I16" s="26">
        <v>3</v>
      </c>
      <c r="J16" s="29">
        <v>0.05</v>
      </c>
      <c r="K16" s="30">
        <f>(Raw_Data[[#This Row],[Cena jedn. (Price unit)]]-(Raw_Data[[#This Row],[Cena jedn. (Price unit)]]*Raw_Data[[#This Row],[Zniżka (Discount)]]))*Raw_Data[[#This Row],[Ilość (Quant.)]]</f>
        <v>54.095590909090895</v>
      </c>
    </row>
    <row r="17" spans="1:11" hidden="1" x14ac:dyDescent="0.25">
      <c r="A17" s="26" t="s">
        <v>43</v>
      </c>
      <c r="B17" s="27">
        <v>45997</v>
      </c>
      <c r="C17" s="26" t="s">
        <v>359</v>
      </c>
      <c r="D17" s="26" t="s">
        <v>13</v>
      </c>
      <c r="E17" s="26" t="s">
        <v>65</v>
      </c>
      <c r="F17" s="26" t="s">
        <v>17</v>
      </c>
      <c r="G17" s="26" t="s">
        <v>195</v>
      </c>
      <c r="H17" s="28">
        <v>132.06173913043477</v>
      </c>
      <c r="I17" s="26">
        <v>3</v>
      </c>
      <c r="J17" s="29">
        <v>0</v>
      </c>
      <c r="K17" s="30">
        <f>(Raw_Data[[#This Row],[Cena jedn. (Price unit)]]-(Raw_Data[[#This Row],[Cena jedn. (Price unit)]]*Raw_Data[[#This Row],[Zniżka (Discount)]]))*Raw_Data[[#This Row],[Ilość (Quant.)]]</f>
        <v>396.18521739130432</v>
      </c>
    </row>
    <row r="18" spans="1:11" hidden="1" x14ac:dyDescent="0.25">
      <c r="A18" s="26" t="s">
        <v>45</v>
      </c>
      <c r="B18" s="27">
        <v>45696</v>
      </c>
      <c r="C18" s="26" t="s">
        <v>364</v>
      </c>
      <c r="D18" s="26" t="s">
        <v>10</v>
      </c>
      <c r="E18" s="26" t="s">
        <v>65</v>
      </c>
      <c r="F18" s="26" t="s">
        <v>17</v>
      </c>
      <c r="G18" s="26" t="s">
        <v>195</v>
      </c>
      <c r="H18" s="28">
        <v>11.572222222222221</v>
      </c>
      <c r="I18" s="26">
        <v>5</v>
      </c>
      <c r="J18" s="29">
        <v>0</v>
      </c>
      <c r="K18" s="30">
        <f>(Raw_Data[[#This Row],[Cena jedn. (Price unit)]]-(Raw_Data[[#This Row],[Cena jedn. (Price unit)]]*Raw_Data[[#This Row],[Zniżka (Discount)]]))*Raw_Data[[#This Row],[Ilość (Quant.)]]</f>
        <v>57.861111111111107</v>
      </c>
    </row>
    <row r="19" spans="1:11" x14ac:dyDescent="0.25">
      <c r="A19" s="26" t="s">
        <v>47</v>
      </c>
      <c r="B19" s="27">
        <v>45963</v>
      </c>
      <c r="C19" s="26" t="s">
        <v>367</v>
      </c>
      <c r="D19" s="26" t="s">
        <v>13</v>
      </c>
      <c r="E19" s="26" t="s">
        <v>200</v>
      </c>
      <c r="F19" s="26" t="s">
        <v>31</v>
      </c>
      <c r="G19" s="26" t="s">
        <v>199</v>
      </c>
      <c r="H19" s="28">
        <v>386.25428571428574</v>
      </c>
      <c r="I19" s="26">
        <v>5</v>
      </c>
      <c r="J19" s="29">
        <v>0</v>
      </c>
      <c r="K19" s="30">
        <f>(Raw_Data[[#This Row],[Cena jedn. (Price unit)]]-(Raw_Data[[#This Row],[Cena jedn. (Price unit)]]*Raw_Data[[#This Row],[Zniżka (Discount)]]))*Raw_Data[[#This Row],[Ilość (Quant.)]]</f>
        <v>1931.2714285714287</v>
      </c>
    </row>
    <row r="20" spans="1:11" hidden="1" x14ac:dyDescent="0.25">
      <c r="A20" s="26" t="s">
        <v>50</v>
      </c>
      <c r="B20" s="27">
        <v>45980</v>
      </c>
      <c r="C20" s="26" t="s">
        <v>365</v>
      </c>
      <c r="D20" s="26" t="s">
        <v>10</v>
      </c>
      <c r="E20" s="26" t="s">
        <v>200</v>
      </c>
      <c r="F20" s="26" t="s">
        <v>31</v>
      </c>
      <c r="G20" s="26" t="s">
        <v>199</v>
      </c>
      <c r="H20" s="28">
        <v>6.6233333333333331</v>
      </c>
      <c r="I20" s="26">
        <v>3</v>
      </c>
      <c r="J20" s="29">
        <v>0.05</v>
      </c>
      <c r="K20" s="30">
        <f>(Raw_Data[[#This Row],[Cena jedn. (Price unit)]]-(Raw_Data[[#This Row],[Cena jedn. (Price unit)]]*Raw_Data[[#This Row],[Zniżka (Discount)]]))*Raw_Data[[#This Row],[Ilość (Quant.)]]</f>
        <v>18.8765</v>
      </c>
    </row>
    <row r="21" spans="1:11" x14ac:dyDescent="0.25">
      <c r="A21" s="26" t="s">
        <v>53</v>
      </c>
      <c r="B21" s="27">
        <v>45707</v>
      </c>
      <c r="C21" s="26" t="s">
        <v>8</v>
      </c>
      <c r="D21" s="26" t="s">
        <v>33</v>
      </c>
      <c r="E21" s="26" t="s">
        <v>200</v>
      </c>
      <c r="F21" s="26" t="s">
        <v>31</v>
      </c>
      <c r="G21" s="26" t="s">
        <v>199</v>
      </c>
      <c r="H21" s="28">
        <v>11.878888888888888</v>
      </c>
      <c r="I21" s="26">
        <v>1</v>
      </c>
      <c r="J21" s="29">
        <v>0</v>
      </c>
      <c r="K21" s="30">
        <f>(Raw_Data[[#This Row],[Cena jedn. (Price unit)]]-(Raw_Data[[#This Row],[Cena jedn. (Price unit)]]*Raw_Data[[#This Row],[Zniżka (Discount)]]))*Raw_Data[[#This Row],[Ilość (Quant.)]]</f>
        <v>11.878888888888888</v>
      </c>
    </row>
    <row r="22" spans="1:11" x14ac:dyDescent="0.25">
      <c r="A22" s="26" t="s">
        <v>54</v>
      </c>
      <c r="B22" s="27">
        <v>45926</v>
      </c>
      <c r="C22" s="26" t="s">
        <v>64</v>
      </c>
      <c r="D22" s="26" t="s">
        <v>3</v>
      </c>
      <c r="E22" s="26" t="s">
        <v>200</v>
      </c>
      <c r="F22" s="26" t="s">
        <v>31</v>
      </c>
      <c r="G22" s="26" t="s">
        <v>199</v>
      </c>
      <c r="H22" s="28">
        <v>63.212222222222231</v>
      </c>
      <c r="I22" s="26">
        <v>3</v>
      </c>
      <c r="J22" s="29">
        <v>0</v>
      </c>
      <c r="K22" s="30">
        <f>(Raw_Data[[#This Row],[Cena jedn. (Price unit)]]-(Raw_Data[[#This Row],[Cena jedn. (Price unit)]]*Raw_Data[[#This Row],[Zniżka (Discount)]]))*Raw_Data[[#This Row],[Ilość (Quant.)]]</f>
        <v>189.63666666666668</v>
      </c>
    </row>
    <row r="23" spans="1:11" x14ac:dyDescent="0.25">
      <c r="A23" s="26" t="s">
        <v>57</v>
      </c>
      <c r="B23" s="27">
        <v>45670</v>
      </c>
      <c r="C23" s="26" t="s">
        <v>362</v>
      </c>
      <c r="D23" s="26" t="s">
        <v>33</v>
      </c>
      <c r="E23" s="26" t="s">
        <v>200</v>
      </c>
      <c r="F23" s="26" t="s">
        <v>31</v>
      </c>
      <c r="G23" s="26" t="s">
        <v>199</v>
      </c>
      <c r="H23" s="28">
        <v>93.873333333333335</v>
      </c>
      <c r="I23" s="26">
        <v>5</v>
      </c>
      <c r="J23" s="29">
        <v>0.2</v>
      </c>
      <c r="K23" s="30">
        <f>(Raw_Data[[#This Row],[Cena jedn. (Price unit)]]-(Raw_Data[[#This Row],[Cena jedn. (Price unit)]]*Raw_Data[[#This Row],[Zniżka (Discount)]]))*Raw_Data[[#This Row],[Ilość (Quant.)]]</f>
        <v>375.49333333333334</v>
      </c>
    </row>
    <row r="24" spans="1:11" x14ac:dyDescent="0.25">
      <c r="A24" s="26" t="s">
        <v>58</v>
      </c>
      <c r="B24" s="27">
        <v>45794</v>
      </c>
      <c r="C24" s="26" t="s">
        <v>368</v>
      </c>
      <c r="D24" s="26" t="s">
        <v>33</v>
      </c>
      <c r="E24" s="26" t="s">
        <v>207</v>
      </c>
      <c r="F24" s="26" t="s">
        <v>14</v>
      </c>
      <c r="G24" s="26" t="s">
        <v>206</v>
      </c>
      <c r="H24" s="28">
        <v>41.589999999999996</v>
      </c>
      <c r="I24" s="26">
        <v>2</v>
      </c>
      <c r="J24" s="29">
        <v>0.05</v>
      </c>
      <c r="K24" s="30">
        <f>(Raw_Data[[#This Row],[Cena jedn. (Price unit)]]-(Raw_Data[[#This Row],[Cena jedn. (Price unit)]]*Raw_Data[[#This Row],[Zniżka (Discount)]]))*Raw_Data[[#This Row],[Ilość (Quant.)]]</f>
        <v>79.020999999999987</v>
      </c>
    </row>
    <row r="25" spans="1:11" x14ac:dyDescent="0.25">
      <c r="A25" s="26" t="s">
        <v>61</v>
      </c>
      <c r="B25" s="27">
        <v>45790</v>
      </c>
      <c r="C25" s="26" t="s">
        <v>366</v>
      </c>
      <c r="D25" s="26" t="s">
        <v>10</v>
      </c>
      <c r="E25" s="26" t="s">
        <v>36</v>
      </c>
      <c r="F25" s="26" t="s">
        <v>31</v>
      </c>
      <c r="G25" s="26" t="s">
        <v>42</v>
      </c>
      <c r="H25" s="28">
        <v>581.93285714285707</v>
      </c>
      <c r="I25" s="26">
        <v>5</v>
      </c>
      <c r="J25" s="29">
        <v>0</v>
      </c>
      <c r="K25" s="30">
        <f>(Raw_Data[[#This Row],[Cena jedn. (Price unit)]]-(Raw_Data[[#This Row],[Cena jedn. (Price unit)]]*Raw_Data[[#This Row],[Zniżka (Discount)]]))*Raw_Data[[#This Row],[Ilość (Quant.)]]</f>
        <v>2909.6642857142851</v>
      </c>
    </row>
    <row r="26" spans="1:11" x14ac:dyDescent="0.25">
      <c r="A26" s="26" t="s">
        <v>62</v>
      </c>
      <c r="B26" s="27">
        <v>45855</v>
      </c>
      <c r="C26" s="26" t="s">
        <v>357</v>
      </c>
      <c r="D26" s="26" t="s">
        <v>13</v>
      </c>
      <c r="E26" s="26" t="s">
        <v>207</v>
      </c>
      <c r="F26" s="26" t="s">
        <v>14</v>
      </c>
      <c r="G26" s="26" t="s">
        <v>206</v>
      </c>
      <c r="H26" s="28">
        <v>72.895454545454541</v>
      </c>
      <c r="I26" s="26">
        <v>5</v>
      </c>
      <c r="J26" s="29">
        <v>0</v>
      </c>
      <c r="K26" s="30">
        <f>(Raw_Data[[#This Row],[Cena jedn. (Price unit)]]-(Raw_Data[[#This Row],[Cena jedn. (Price unit)]]*Raw_Data[[#This Row],[Zniżka (Discount)]]))*Raw_Data[[#This Row],[Ilość (Quant.)]]</f>
        <v>364.47727272727269</v>
      </c>
    </row>
    <row r="27" spans="1:11" x14ac:dyDescent="0.25">
      <c r="A27" s="26" t="s">
        <v>63</v>
      </c>
      <c r="B27" s="27">
        <v>45928</v>
      </c>
      <c r="C27" s="26" t="s">
        <v>363</v>
      </c>
      <c r="D27" s="26" t="s">
        <v>10</v>
      </c>
      <c r="E27" s="26" t="s">
        <v>291</v>
      </c>
      <c r="F27" s="26" t="s">
        <v>14</v>
      </c>
      <c r="G27" s="26" t="s">
        <v>290</v>
      </c>
      <c r="H27" s="28">
        <v>122.76777777777778</v>
      </c>
      <c r="I27" s="26">
        <v>5</v>
      </c>
      <c r="J27" s="29">
        <v>0</v>
      </c>
      <c r="K27" s="30">
        <f>(Raw_Data[[#This Row],[Cena jedn. (Price unit)]]-(Raw_Data[[#This Row],[Cena jedn. (Price unit)]]*Raw_Data[[#This Row],[Zniżka (Discount)]]))*Raw_Data[[#This Row],[Ilość (Quant.)]]</f>
        <v>613.83888888888896</v>
      </c>
    </row>
    <row r="28" spans="1:11" x14ac:dyDescent="0.25">
      <c r="A28" s="26" t="s">
        <v>66</v>
      </c>
      <c r="B28" s="27">
        <v>45740</v>
      </c>
      <c r="C28" s="26" t="s">
        <v>40</v>
      </c>
      <c r="D28" s="26" t="s">
        <v>13</v>
      </c>
      <c r="E28" s="26" t="s">
        <v>291</v>
      </c>
      <c r="F28" s="26" t="s">
        <v>14</v>
      </c>
      <c r="G28" s="26" t="s">
        <v>290</v>
      </c>
      <c r="H28" s="28">
        <v>45.944545454545462</v>
      </c>
      <c r="I28" s="26">
        <v>1</v>
      </c>
      <c r="J28" s="29">
        <v>0.05</v>
      </c>
      <c r="K28" s="30">
        <f>(Raw_Data[[#This Row],[Cena jedn. (Price unit)]]-(Raw_Data[[#This Row],[Cena jedn. (Price unit)]]*Raw_Data[[#This Row],[Zniżka (Discount)]]))*Raw_Data[[#This Row],[Ilość (Quant.)]]</f>
        <v>43.647318181818193</v>
      </c>
    </row>
    <row r="29" spans="1:11" x14ac:dyDescent="0.25">
      <c r="A29" s="26" t="s">
        <v>67</v>
      </c>
      <c r="B29" s="27">
        <v>45937</v>
      </c>
      <c r="C29" s="26" t="s">
        <v>358</v>
      </c>
      <c r="D29" s="26" t="s">
        <v>13</v>
      </c>
      <c r="E29" s="26" t="s">
        <v>291</v>
      </c>
      <c r="F29" s="26" t="s">
        <v>14</v>
      </c>
      <c r="G29" s="26" t="s">
        <v>290</v>
      </c>
      <c r="H29" s="28">
        <v>34.880909090909093</v>
      </c>
      <c r="I29" s="26">
        <v>3</v>
      </c>
      <c r="J29" s="29">
        <v>0</v>
      </c>
      <c r="K29" s="30">
        <f>(Raw_Data[[#This Row],[Cena jedn. (Price unit)]]-(Raw_Data[[#This Row],[Cena jedn. (Price unit)]]*Raw_Data[[#This Row],[Zniżka (Discount)]]))*Raw_Data[[#This Row],[Ilość (Quant.)]]</f>
        <v>104.64272727272729</v>
      </c>
    </row>
    <row r="30" spans="1:11" x14ac:dyDescent="0.25">
      <c r="A30" s="26" t="s">
        <v>68</v>
      </c>
      <c r="B30" s="27">
        <v>45683</v>
      </c>
      <c r="C30" s="26" t="s">
        <v>357</v>
      </c>
      <c r="D30" s="26" t="s">
        <v>33</v>
      </c>
      <c r="E30" s="26" t="s">
        <v>291</v>
      </c>
      <c r="F30" s="26" t="s">
        <v>14</v>
      </c>
      <c r="G30" s="26" t="s">
        <v>290</v>
      </c>
      <c r="H30" s="28">
        <v>64.062727272727273</v>
      </c>
      <c r="I30" s="26">
        <v>2</v>
      </c>
      <c r="J30" s="29">
        <v>0</v>
      </c>
      <c r="K30" s="30">
        <f>(Raw_Data[[#This Row],[Cena jedn. (Price unit)]]-(Raw_Data[[#This Row],[Cena jedn. (Price unit)]]*Raw_Data[[#This Row],[Zniżka (Discount)]]))*Raw_Data[[#This Row],[Ilość (Quant.)]]</f>
        <v>128.12545454545455</v>
      </c>
    </row>
    <row r="31" spans="1:11" x14ac:dyDescent="0.25">
      <c r="A31" s="26" t="s">
        <v>71</v>
      </c>
      <c r="B31" s="27">
        <v>45875</v>
      </c>
      <c r="C31" s="26" t="s">
        <v>358</v>
      </c>
      <c r="D31" s="26" t="s">
        <v>3</v>
      </c>
      <c r="E31" s="26" t="s">
        <v>291</v>
      </c>
      <c r="F31" s="26" t="s">
        <v>14</v>
      </c>
      <c r="G31" s="26" t="s">
        <v>290</v>
      </c>
      <c r="H31" s="28">
        <v>30.350000000000005</v>
      </c>
      <c r="I31" s="26">
        <v>2</v>
      </c>
      <c r="J31" s="29">
        <v>0.1</v>
      </c>
      <c r="K31" s="30">
        <f>(Raw_Data[[#This Row],[Cena jedn. (Price unit)]]-(Raw_Data[[#This Row],[Cena jedn. (Price unit)]]*Raw_Data[[#This Row],[Zniżka (Discount)]]))*Raw_Data[[#This Row],[Ilość (Quant.)]]</f>
        <v>54.63000000000001</v>
      </c>
    </row>
    <row r="32" spans="1:11" x14ac:dyDescent="0.25">
      <c r="A32" s="26" t="s">
        <v>72</v>
      </c>
      <c r="B32" s="27">
        <v>45665</v>
      </c>
      <c r="C32" s="26" t="s">
        <v>364</v>
      </c>
      <c r="D32" s="26" t="s">
        <v>10</v>
      </c>
      <c r="E32" s="26" t="s">
        <v>291</v>
      </c>
      <c r="F32" s="26" t="s">
        <v>14</v>
      </c>
      <c r="G32" s="26" t="s">
        <v>290</v>
      </c>
      <c r="H32" s="28">
        <v>16.123333333333331</v>
      </c>
      <c r="I32" s="26">
        <v>3</v>
      </c>
      <c r="J32" s="29">
        <v>0</v>
      </c>
      <c r="K32" s="30">
        <f>(Raw_Data[[#This Row],[Cena jedn. (Price unit)]]-(Raw_Data[[#This Row],[Cena jedn. (Price unit)]]*Raw_Data[[#This Row],[Zniżka (Discount)]]))*Raw_Data[[#This Row],[Ilość (Quant.)]]</f>
        <v>48.36999999999999</v>
      </c>
    </row>
    <row r="33" spans="1:11" hidden="1" x14ac:dyDescent="0.25">
      <c r="A33" s="26" t="s">
        <v>73</v>
      </c>
      <c r="B33" s="27">
        <v>46018</v>
      </c>
      <c r="C33" s="26" t="s">
        <v>64</v>
      </c>
      <c r="D33" s="26" t="s">
        <v>3</v>
      </c>
      <c r="E33" s="26" t="s">
        <v>293</v>
      </c>
      <c r="F33" s="26" t="s">
        <v>14</v>
      </c>
      <c r="G33" s="26" t="s">
        <v>292</v>
      </c>
      <c r="H33" s="28">
        <v>57.101111111111116</v>
      </c>
      <c r="I33" s="26">
        <v>5</v>
      </c>
      <c r="J33" s="29">
        <v>0</v>
      </c>
      <c r="K33" s="30">
        <f>(Raw_Data[[#This Row],[Cena jedn. (Price unit)]]-(Raw_Data[[#This Row],[Cena jedn. (Price unit)]]*Raw_Data[[#This Row],[Zniżka (Discount)]]))*Raw_Data[[#This Row],[Ilość (Quant.)]]</f>
        <v>285.50555555555559</v>
      </c>
    </row>
    <row r="34" spans="1:11" x14ac:dyDescent="0.25">
      <c r="A34" s="26" t="s">
        <v>74</v>
      </c>
      <c r="B34" s="27">
        <v>45813</v>
      </c>
      <c r="C34" s="26" t="s">
        <v>362</v>
      </c>
      <c r="D34" s="26" t="s">
        <v>13</v>
      </c>
      <c r="E34" s="26" t="s">
        <v>293</v>
      </c>
      <c r="F34" s="26" t="s">
        <v>14</v>
      </c>
      <c r="G34" s="26" t="s">
        <v>292</v>
      </c>
      <c r="H34" s="28">
        <v>93.683333333333323</v>
      </c>
      <c r="I34" s="26">
        <v>2</v>
      </c>
      <c r="J34" s="29">
        <v>0</v>
      </c>
      <c r="K34" s="30">
        <f>(Raw_Data[[#This Row],[Cena jedn. (Price unit)]]-(Raw_Data[[#This Row],[Cena jedn. (Price unit)]]*Raw_Data[[#This Row],[Zniżka (Discount)]]))*Raw_Data[[#This Row],[Ilość (Quant.)]]</f>
        <v>187.36666666666665</v>
      </c>
    </row>
    <row r="35" spans="1:11" x14ac:dyDescent="0.25">
      <c r="A35" s="26" t="s">
        <v>75</v>
      </c>
      <c r="B35" s="27">
        <v>45906</v>
      </c>
      <c r="C35" s="26" t="s">
        <v>27</v>
      </c>
      <c r="D35" s="26" t="s">
        <v>3</v>
      </c>
      <c r="E35" s="26" t="s">
        <v>293</v>
      </c>
      <c r="F35" s="26" t="s">
        <v>14</v>
      </c>
      <c r="G35" s="26" t="s">
        <v>292</v>
      </c>
      <c r="H35" s="28">
        <v>29.275714285714283</v>
      </c>
      <c r="I35" s="26">
        <v>3</v>
      </c>
      <c r="J35" s="29">
        <v>0.05</v>
      </c>
      <c r="K35" s="30">
        <f>(Raw_Data[[#This Row],[Cena jedn. (Price unit)]]-(Raw_Data[[#This Row],[Cena jedn. (Price unit)]]*Raw_Data[[#This Row],[Zniżka (Discount)]]))*Raw_Data[[#This Row],[Ilość (Quant.)]]</f>
        <v>83.435785714285714</v>
      </c>
    </row>
    <row r="36" spans="1:11" hidden="1" x14ac:dyDescent="0.25">
      <c r="A36" s="26" t="s">
        <v>78</v>
      </c>
      <c r="B36" s="27">
        <v>45992</v>
      </c>
      <c r="C36" s="26" t="s">
        <v>366</v>
      </c>
      <c r="D36" s="26" t="s">
        <v>3</v>
      </c>
      <c r="E36" s="26" t="s">
        <v>36</v>
      </c>
      <c r="F36" s="26" t="s">
        <v>31</v>
      </c>
      <c r="G36" s="26" t="s">
        <v>42</v>
      </c>
      <c r="H36" s="28">
        <v>653.49285714285725</v>
      </c>
      <c r="I36" s="26">
        <v>3</v>
      </c>
      <c r="J36" s="29">
        <v>0.15</v>
      </c>
      <c r="K36" s="30">
        <f>(Raw_Data[[#This Row],[Cena jedn. (Price unit)]]-(Raw_Data[[#This Row],[Cena jedn. (Price unit)]]*Raw_Data[[#This Row],[Zniżka (Discount)]]))*Raw_Data[[#This Row],[Ilość (Quant.)]]</f>
        <v>1666.4067857142861</v>
      </c>
    </row>
    <row r="37" spans="1:11" x14ac:dyDescent="0.25">
      <c r="A37" s="26" t="s">
        <v>79</v>
      </c>
      <c r="B37" s="27">
        <v>45684</v>
      </c>
      <c r="C37" s="26" t="s">
        <v>363</v>
      </c>
      <c r="D37" s="26" t="s">
        <v>10</v>
      </c>
      <c r="E37" s="26" t="s">
        <v>295</v>
      </c>
      <c r="F37" s="26" t="s">
        <v>17</v>
      </c>
      <c r="G37" s="26" t="s">
        <v>294</v>
      </c>
      <c r="H37" s="28">
        <v>122.31777777777779</v>
      </c>
      <c r="I37" s="26">
        <v>1</v>
      </c>
      <c r="J37" s="29">
        <v>0.1</v>
      </c>
      <c r="K37" s="30">
        <f>(Raw_Data[[#This Row],[Cena jedn. (Price unit)]]-(Raw_Data[[#This Row],[Cena jedn. (Price unit)]]*Raw_Data[[#This Row],[Zniżka (Discount)]]))*Raw_Data[[#This Row],[Ilość (Quant.)]]</f>
        <v>110.08600000000001</v>
      </c>
    </row>
    <row r="38" spans="1:11" hidden="1" x14ac:dyDescent="0.25">
      <c r="A38" s="26" t="s">
        <v>80</v>
      </c>
      <c r="B38" s="27">
        <v>45967</v>
      </c>
      <c r="C38" s="26" t="s">
        <v>365</v>
      </c>
      <c r="D38" s="26" t="s">
        <v>13</v>
      </c>
      <c r="E38" s="26" t="s">
        <v>295</v>
      </c>
      <c r="F38" s="26" t="s">
        <v>17</v>
      </c>
      <c r="G38" s="26" t="s">
        <v>294</v>
      </c>
      <c r="H38" s="28">
        <v>7.8177777777777777</v>
      </c>
      <c r="I38" s="26">
        <v>2</v>
      </c>
      <c r="J38" s="29">
        <v>0</v>
      </c>
      <c r="K38" s="30">
        <f>(Raw_Data[[#This Row],[Cena jedn. (Price unit)]]-(Raw_Data[[#This Row],[Cena jedn. (Price unit)]]*Raw_Data[[#This Row],[Zniżka (Discount)]]))*Raw_Data[[#This Row],[Ilość (Quant.)]]</f>
        <v>15.635555555555555</v>
      </c>
    </row>
    <row r="39" spans="1:11" hidden="1" x14ac:dyDescent="0.25">
      <c r="A39" s="26" t="s">
        <v>83</v>
      </c>
      <c r="B39" s="27">
        <v>45992</v>
      </c>
      <c r="C39" s="26" t="s">
        <v>1</v>
      </c>
      <c r="D39" s="26" t="s">
        <v>3</v>
      </c>
      <c r="E39" s="26" t="s">
        <v>295</v>
      </c>
      <c r="F39" s="26" t="s">
        <v>17</v>
      </c>
      <c r="G39" s="26" t="s">
        <v>294</v>
      </c>
      <c r="H39" s="28">
        <v>461.06142857142856</v>
      </c>
      <c r="I39" s="26">
        <v>3</v>
      </c>
      <c r="J39" s="29">
        <v>0</v>
      </c>
      <c r="K39" s="30">
        <f>(Raw_Data[[#This Row],[Cena jedn. (Price unit)]]-(Raw_Data[[#This Row],[Cena jedn. (Price unit)]]*Raw_Data[[#This Row],[Zniżka (Discount)]]))*Raw_Data[[#This Row],[Ilość (Quant.)]]</f>
        <v>1383.1842857142856</v>
      </c>
    </row>
    <row r="40" spans="1:11" x14ac:dyDescent="0.25">
      <c r="A40" s="26" t="s">
        <v>84</v>
      </c>
      <c r="B40" s="27">
        <v>45892</v>
      </c>
      <c r="C40" s="26" t="s">
        <v>364</v>
      </c>
      <c r="D40" s="26" t="s">
        <v>13</v>
      </c>
      <c r="E40" s="26" t="s">
        <v>295</v>
      </c>
      <c r="F40" s="26" t="s">
        <v>17</v>
      </c>
      <c r="G40" s="26" t="s">
        <v>294</v>
      </c>
      <c r="H40" s="28">
        <v>14.156666666666666</v>
      </c>
      <c r="I40" s="26">
        <v>4</v>
      </c>
      <c r="J40" s="29">
        <v>0.05</v>
      </c>
      <c r="K40" s="30">
        <f>(Raw_Data[[#This Row],[Cena jedn. (Price unit)]]-(Raw_Data[[#This Row],[Cena jedn. (Price unit)]]*Raw_Data[[#This Row],[Zniżka (Discount)]]))*Raw_Data[[#This Row],[Ilość (Quant.)]]</f>
        <v>53.795333333333332</v>
      </c>
    </row>
    <row r="41" spans="1:11" x14ac:dyDescent="0.25">
      <c r="A41" s="26" t="s">
        <v>85</v>
      </c>
      <c r="B41" s="27">
        <v>45910</v>
      </c>
      <c r="C41" s="26" t="s">
        <v>366</v>
      </c>
      <c r="D41" s="26" t="s">
        <v>10</v>
      </c>
      <c r="E41" s="26" t="s">
        <v>295</v>
      </c>
      <c r="F41" s="26" t="s">
        <v>17</v>
      </c>
      <c r="G41" s="26" t="s">
        <v>294</v>
      </c>
      <c r="H41" s="28">
        <v>581.93285714285707</v>
      </c>
      <c r="I41" s="26">
        <v>5</v>
      </c>
      <c r="J41" s="29">
        <v>0</v>
      </c>
      <c r="K41" s="30">
        <f>(Raw_Data[[#This Row],[Cena jedn. (Price unit)]]-(Raw_Data[[#This Row],[Cena jedn. (Price unit)]]*Raw_Data[[#This Row],[Zniżka (Discount)]]))*Raw_Data[[#This Row],[Ilość (Quant.)]]</f>
        <v>2909.6642857142851</v>
      </c>
    </row>
    <row r="42" spans="1:11" x14ac:dyDescent="0.25">
      <c r="A42" s="26" t="s">
        <v>88</v>
      </c>
      <c r="B42" s="27">
        <v>45736</v>
      </c>
      <c r="C42" s="26" t="s">
        <v>209</v>
      </c>
      <c r="D42" s="26" t="s">
        <v>33</v>
      </c>
      <c r="E42" s="26" t="s">
        <v>298</v>
      </c>
      <c r="F42" s="26" t="s">
        <v>31</v>
      </c>
      <c r="G42" s="26" t="s">
        <v>297</v>
      </c>
      <c r="H42" s="28">
        <v>23.408181818181816</v>
      </c>
      <c r="I42" s="26">
        <v>4</v>
      </c>
      <c r="J42" s="29">
        <v>0.05</v>
      </c>
      <c r="K42" s="30">
        <f>(Raw_Data[[#This Row],[Cena jedn. (Price unit)]]-(Raw_Data[[#This Row],[Cena jedn. (Price unit)]]*Raw_Data[[#This Row],[Zniżka (Discount)]]))*Raw_Data[[#This Row],[Ilość (Quant.)]]</f>
        <v>88.951090909090908</v>
      </c>
    </row>
    <row r="43" spans="1:11" x14ac:dyDescent="0.25">
      <c r="A43" s="26" t="s">
        <v>89</v>
      </c>
      <c r="B43" s="27">
        <v>45958</v>
      </c>
      <c r="C43" s="26" t="s">
        <v>365</v>
      </c>
      <c r="D43" s="26" t="s">
        <v>13</v>
      </c>
      <c r="E43" s="26" t="s">
        <v>298</v>
      </c>
      <c r="F43" s="26" t="s">
        <v>31</v>
      </c>
      <c r="G43" s="26" t="s">
        <v>297</v>
      </c>
      <c r="H43" s="28">
        <v>6.6511111111111116</v>
      </c>
      <c r="I43" s="26">
        <v>4</v>
      </c>
      <c r="J43" s="29">
        <v>0.1</v>
      </c>
      <c r="K43" s="30">
        <f>(Raw_Data[[#This Row],[Cena jedn. (Price unit)]]-(Raw_Data[[#This Row],[Cena jedn. (Price unit)]]*Raw_Data[[#This Row],[Zniżka (Discount)]]))*Raw_Data[[#This Row],[Ilość (Quant.)]]</f>
        <v>23.944000000000003</v>
      </c>
    </row>
    <row r="44" spans="1:11" x14ac:dyDescent="0.25">
      <c r="A44" s="26" t="s">
        <v>92</v>
      </c>
      <c r="B44" s="27">
        <v>45822</v>
      </c>
      <c r="C44" s="26" t="s">
        <v>367</v>
      </c>
      <c r="D44" s="26" t="s">
        <v>13</v>
      </c>
      <c r="E44" s="26" t="s">
        <v>298</v>
      </c>
      <c r="F44" s="26" t="s">
        <v>31</v>
      </c>
      <c r="G44" s="26" t="s">
        <v>297</v>
      </c>
      <c r="H44" s="28">
        <v>525.36142857142852</v>
      </c>
      <c r="I44" s="26">
        <v>3</v>
      </c>
      <c r="J44" s="29">
        <v>0.15</v>
      </c>
      <c r="K44" s="30">
        <f>(Raw_Data[[#This Row],[Cena jedn. (Price unit)]]-(Raw_Data[[#This Row],[Cena jedn. (Price unit)]]*Raw_Data[[#This Row],[Zniżka (Discount)]]))*Raw_Data[[#This Row],[Ilość (Quant.)]]</f>
        <v>1339.6716428571426</v>
      </c>
    </row>
    <row r="45" spans="1:11" x14ac:dyDescent="0.25">
      <c r="A45" s="26" t="s">
        <v>93</v>
      </c>
      <c r="B45" s="27">
        <v>45773</v>
      </c>
      <c r="C45" s="26" t="s">
        <v>8</v>
      </c>
      <c r="D45" s="26" t="s">
        <v>3</v>
      </c>
      <c r="E45" s="26" t="s">
        <v>298</v>
      </c>
      <c r="F45" s="26" t="s">
        <v>31</v>
      </c>
      <c r="G45" s="26" t="s">
        <v>297</v>
      </c>
      <c r="H45" s="28">
        <v>9.328888888888887</v>
      </c>
      <c r="I45" s="26">
        <v>2</v>
      </c>
      <c r="J45" s="29">
        <v>0</v>
      </c>
      <c r="K45" s="30">
        <f>(Raw_Data[[#This Row],[Cena jedn. (Price unit)]]-(Raw_Data[[#This Row],[Cena jedn. (Price unit)]]*Raw_Data[[#This Row],[Zniżka (Discount)]]))*Raw_Data[[#This Row],[Ilość (Quant.)]]</f>
        <v>18.657777777777774</v>
      </c>
    </row>
    <row r="46" spans="1:11" x14ac:dyDescent="0.25">
      <c r="A46" s="26" t="s">
        <v>94</v>
      </c>
      <c r="B46" s="27">
        <v>45864</v>
      </c>
      <c r="C46" s="26" t="s">
        <v>40</v>
      </c>
      <c r="D46" s="26" t="s">
        <v>3</v>
      </c>
      <c r="E46" s="26" t="s">
        <v>298</v>
      </c>
      <c r="F46" s="26" t="s">
        <v>31</v>
      </c>
      <c r="G46" s="26" t="s">
        <v>297</v>
      </c>
      <c r="H46" s="28">
        <v>44.903636363636366</v>
      </c>
      <c r="I46" s="26">
        <v>3</v>
      </c>
      <c r="J46" s="29">
        <v>0.15</v>
      </c>
      <c r="K46" s="30">
        <f>(Raw_Data[[#This Row],[Cena jedn. (Price unit)]]-(Raw_Data[[#This Row],[Cena jedn. (Price unit)]]*Raw_Data[[#This Row],[Zniżka (Discount)]]))*Raw_Data[[#This Row],[Ilość (Quant.)]]</f>
        <v>114.50427272727273</v>
      </c>
    </row>
    <row r="47" spans="1:11" x14ac:dyDescent="0.25">
      <c r="A47" s="26" t="s">
        <v>97</v>
      </c>
      <c r="B47" s="27">
        <v>45673</v>
      </c>
      <c r="C47" s="26" t="s">
        <v>22</v>
      </c>
      <c r="D47" s="26" t="s">
        <v>10</v>
      </c>
      <c r="E47" s="26" t="s">
        <v>36</v>
      </c>
      <c r="F47" s="26" t="s">
        <v>31</v>
      </c>
      <c r="G47" s="26" t="s">
        <v>42</v>
      </c>
      <c r="H47" s="28">
        <v>122.0891304347826</v>
      </c>
      <c r="I47" s="26">
        <v>3</v>
      </c>
      <c r="J47" s="29">
        <v>0.05</v>
      </c>
      <c r="K47" s="30">
        <f>(Raw_Data[[#This Row],[Cena jedn. (Price unit)]]-(Raw_Data[[#This Row],[Cena jedn. (Price unit)]]*Raw_Data[[#This Row],[Zniżka (Discount)]]))*Raw_Data[[#This Row],[Ilość (Quant.)]]</f>
        <v>347.95402173913044</v>
      </c>
    </row>
    <row r="48" spans="1:11" x14ac:dyDescent="0.25">
      <c r="A48" s="26" t="s">
        <v>98</v>
      </c>
      <c r="B48" s="27">
        <v>45805</v>
      </c>
      <c r="C48" s="26" t="s">
        <v>64</v>
      </c>
      <c r="D48" s="26" t="s">
        <v>3</v>
      </c>
      <c r="E48" s="26" t="s">
        <v>300</v>
      </c>
      <c r="F48" s="26" t="s">
        <v>31</v>
      </c>
      <c r="G48" s="26" t="s">
        <v>299</v>
      </c>
      <c r="H48" s="28">
        <v>73.212222222222223</v>
      </c>
      <c r="I48" s="26">
        <v>2</v>
      </c>
      <c r="J48" s="29">
        <v>0.05</v>
      </c>
      <c r="K48" s="30">
        <f>(Raw_Data[[#This Row],[Cena jedn. (Price unit)]]-(Raw_Data[[#This Row],[Cena jedn. (Price unit)]]*Raw_Data[[#This Row],[Zniżka (Discount)]]))*Raw_Data[[#This Row],[Ilość (Quant.)]]</f>
        <v>139.10322222222223</v>
      </c>
    </row>
    <row r="49" spans="1:11" hidden="1" x14ac:dyDescent="0.25">
      <c r="A49" s="26" t="s">
        <v>99</v>
      </c>
      <c r="B49" s="27">
        <v>45964</v>
      </c>
      <c r="C49" s="26" t="s">
        <v>360</v>
      </c>
      <c r="D49" s="26" t="s">
        <v>10</v>
      </c>
      <c r="E49" s="26" t="s">
        <v>300</v>
      </c>
      <c r="F49" s="26" t="s">
        <v>31</v>
      </c>
      <c r="G49" s="26" t="s">
        <v>299</v>
      </c>
      <c r="H49" s="28">
        <v>81.19217391304349</v>
      </c>
      <c r="I49" s="26">
        <v>3</v>
      </c>
      <c r="J49" s="29">
        <v>0</v>
      </c>
      <c r="K49" s="30">
        <f>(Raw_Data[[#This Row],[Cena jedn. (Price unit)]]-(Raw_Data[[#This Row],[Cena jedn. (Price unit)]]*Raw_Data[[#This Row],[Zniżka (Discount)]]))*Raw_Data[[#This Row],[Ilość (Quant.)]]</f>
        <v>243.57652173913047</v>
      </c>
    </row>
    <row r="50" spans="1:11" hidden="1" x14ac:dyDescent="0.25">
      <c r="A50" s="26" t="s">
        <v>102</v>
      </c>
      <c r="B50" s="27">
        <v>46022</v>
      </c>
      <c r="C50" s="26" t="s">
        <v>368</v>
      </c>
      <c r="D50" s="26" t="s">
        <v>13</v>
      </c>
      <c r="E50" s="26" t="s">
        <v>302</v>
      </c>
      <c r="F50" s="26" t="s">
        <v>20</v>
      </c>
      <c r="G50" s="26" t="s">
        <v>301</v>
      </c>
      <c r="H50" s="28">
        <v>41.39</v>
      </c>
      <c r="I50" s="26">
        <v>5</v>
      </c>
      <c r="J50" s="29">
        <v>0.15</v>
      </c>
      <c r="K50" s="30">
        <f>(Raw_Data[[#This Row],[Cena jedn. (Price unit)]]-(Raw_Data[[#This Row],[Cena jedn. (Price unit)]]*Raw_Data[[#This Row],[Zniżka (Discount)]]))*Raw_Data[[#This Row],[Ilość (Quant.)]]</f>
        <v>175.9075</v>
      </c>
    </row>
    <row r="51" spans="1:11" x14ac:dyDescent="0.25">
      <c r="A51" s="26" t="s">
        <v>103</v>
      </c>
      <c r="B51" s="27">
        <v>45761</v>
      </c>
      <c r="C51" s="26" t="s">
        <v>362</v>
      </c>
      <c r="D51" s="26" t="s">
        <v>3</v>
      </c>
      <c r="E51" s="26" t="s">
        <v>304</v>
      </c>
      <c r="F51" s="26" t="s">
        <v>296</v>
      </c>
      <c r="G51" s="26" t="s">
        <v>303</v>
      </c>
      <c r="H51" s="28">
        <v>78.790000000000006</v>
      </c>
      <c r="I51" s="26">
        <v>3</v>
      </c>
      <c r="J51" s="29">
        <v>0.1</v>
      </c>
      <c r="K51" s="30">
        <f>(Raw_Data[[#This Row],[Cena jedn. (Price unit)]]-(Raw_Data[[#This Row],[Cena jedn. (Price unit)]]*Raw_Data[[#This Row],[Zniżka (Discount)]]))*Raw_Data[[#This Row],[Ilość (Quant.)]]</f>
        <v>212.733</v>
      </c>
    </row>
    <row r="52" spans="1:11" x14ac:dyDescent="0.25">
      <c r="A52" s="26" t="s">
        <v>104</v>
      </c>
      <c r="B52" s="27">
        <v>45688</v>
      </c>
      <c r="C52" s="26" t="s">
        <v>363</v>
      </c>
      <c r="D52" s="26" t="s">
        <v>3</v>
      </c>
      <c r="E52" s="26" t="s">
        <v>306</v>
      </c>
      <c r="F52" s="26" t="s">
        <v>20</v>
      </c>
      <c r="G52" s="26" t="s">
        <v>305</v>
      </c>
      <c r="H52" s="28">
        <v>104.10111111111109</v>
      </c>
      <c r="I52" s="26">
        <v>5</v>
      </c>
      <c r="J52" s="29">
        <v>0</v>
      </c>
      <c r="K52" s="30">
        <f>(Raw_Data[[#This Row],[Cena jedn. (Price unit)]]-(Raw_Data[[#This Row],[Cena jedn. (Price unit)]]*Raw_Data[[#This Row],[Zniżka (Discount)]]))*Raw_Data[[#This Row],[Ilość (Quant.)]]</f>
        <v>520.50555555555547</v>
      </c>
    </row>
    <row r="53" spans="1:11" x14ac:dyDescent="0.25">
      <c r="A53" s="26" t="s">
        <v>105</v>
      </c>
      <c r="B53" s="27">
        <v>45725</v>
      </c>
      <c r="C53" s="26" t="s">
        <v>209</v>
      </c>
      <c r="D53" s="26" t="s">
        <v>33</v>
      </c>
      <c r="E53" s="26" t="s">
        <v>308</v>
      </c>
      <c r="F53" s="26" t="s">
        <v>296</v>
      </c>
      <c r="G53" s="26" t="s">
        <v>307</v>
      </c>
      <c r="H53" s="28">
        <v>17.368181818181821</v>
      </c>
      <c r="I53" s="26">
        <v>3</v>
      </c>
      <c r="J53" s="29">
        <v>0</v>
      </c>
      <c r="K53" s="30">
        <f>(Raw_Data[[#This Row],[Cena jedn. (Price unit)]]-(Raw_Data[[#This Row],[Cena jedn. (Price unit)]]*Raw_Data[[#This Row],[Zniżka (Discount)]]))*Raw_Data[[#This Row],[Ilość (Quant.)]]</f>
        <v>52.104545454545459</v>
      </c>
    </row>
    <row r="54" spans="1:11" x14ac:dyDescent="0.25">
      <c r="A54" s="26" t="s">
        <v>108</v>
      </c>
      <c r="B54" s="27">
        <v>45869</v>
      </c>
      <c r="C54" s="26" t="s">
        <v>364</v>
      </c>
      <c r="D54" s="26" t="s">
        <v>10</v>
      </c>
      <c r="E54" s="26" t="s">
        <v>310</v>
      </c>
      <c r="F54" s="26" t="s">
        <v>14</v>
      </c>
      <c r="G54" s="26" t="s">
        <v>309</v>
      </c>
      <c r="H54" s="28">
        <v>15.461111111111109</v>
      </c>
      <c r="I54" s="26">
        <v>1</v>
      </c>
      <c r="J54" s="29">
        <v>0.05</v>
      </c>
      <c r="K54" s="30">
        <f>(Raw_Data[[#This Row],[Cena jedn. (Price unit)]]-(Raw_Data[[#This Row],[Cena jedn. (Price unit)]]*Raw_Data[[#This Row],[Zniżka (Discount)]]))*Raw_Data[[#This Row],[Ilość (Quant.)]]</f>
        <v>14.688055555555554</v>
      </c>
    </row>
    <row r="55" spans="1:11" x14ac:dyDescent="0.25">
      <c r="A55" s="26" t="s">
        <v>109</v>
      </c>
      <c r="B55" s="27">
        <v>45678</v>
      </c>
      <c r="C55" s="26" t="s">
        <v>8</v>
      </c>
      <c r="D55" s="26" t="s">
        <v>3</v>
      </c>
      <c r="E55" s="26" t="s">
        <v>312</v>
      </c>
      <c r="F55" s="26" t="s">
        <v>4</v>
      </c>
      <c r="G55" s="26" t="s">
        <v>311</v>
      </c>
      <c r="H55" s="28">
        <v>10.184444444444445</v>
      </c>
      <c r="I55" s="26">
        <v>3</v>
      </c>
      <c r="J55" s="29">
        <v>0</v>
      </c>
      <c r="K55" s="30">
        <f>(Raw_Data[[#This Row],[Cena jedn. (Price unit)]]-(Raw_Data[[#This Row],[Cena jedn. (Price unit)]]*Raw_Data[[#This Row],[Zniżka (Discount)]]))*Raw_Data[[#This Row],[Ilość (Quant.)]]</f>
        <v>30.553333333333335</v>
      </c>
    </row>
    <row r="56" spans="1:11" ht="15" customHeight="1" x14ac:dyDescent="0.25">
      <c r="A56" s="26" t="s">
        <v>110</v>
      </c>
      <c r="B56" s="27">
        <v>45849</v>
      </c>
      <c r="C56" s="26" t="s">
        <v>365</v>
      </c>
      <c r="D56" s="26" t="s">
        <v>13</v>
      </c>
      <c r="E56" s="26" t="s">
        <v>312</v>
      </c>
      <c r="F56" s="26" t="s">
        <v>4</v>
      </c>
      <c r="G56" s="26" t="s">
        <v>311</v>
      </c>
      <c r="H56" s="28">
        <v>7.0722222222222211</v>
      </c>
      <c r="I56" s="26">
        <v>3</v>
      </c>
      <c r="J56" s="29">
        <v>0</v>
      </c>
      <c r="K56" s="30">
        <f>(Raw_Data[[#This Row],[Cena jedn. (Price unit)]]-(Raw_Data[[#This Row],[Cena jedn. (Price unit)]]*Raw_Data[[#This Row],[Zniżka (Discount)]]))*Raw_Data[[#This Row],[Ilość (Quant.)]]</f>
        <v>21.216666666666661</v>
      </c>
    </row>
    <row r="57" spans="1:11" x14ac:dyDescent="0.25">
      <c r="A57" s="26" t="s">
        <v>113</v>
      </c>
      <c r="B57" s="27">
        <v>45862</v>
      </c>
      <c r="C57" s="26" t="s">
        <v>8</v>
      </c>
      <c r="D57" s="26" t="s">
        <v>13</v>
      </c>
      <c r="E57" s="26" t="s">
        <v>312</v>
      </c>
      <c r="F57" s="26" t="s">
        <v>4</v>
      </c>
      <c r="G57" s="26" t="s">
        <v>311</v>
      </c>
      <c r="H57" s="28">
        <v>10.59</v>
      </c>
      <c r="I57" s="26">
        <v>4</v>
      </c>
      <c r="J57" s="29">
        <v>0</v>
      </c>
      <c r="K57" s="30">
        <f>(Raw_Data[[#This Row],[Cena jedn. (Price unit)]]-(Raw_Data[[#This Row],[Cena jedn. (Price unit)]]*Raw_Data[[#This Row],[Zniżka (Discount)]]))*Raw_Data[[#This Row],[Ilość (Quant.)]]</f>
        <v>42.36</v>
      </c>
    </row>
    <row r="58" spans="1:11" x14ac:dyDescent="0.25">
      <c r="A58" s="26" t="s">
        <v>114</v>
      </c>
      <c r="B58" s="27">
        <v>45829</v>
      </c>
      <c r="C58" s="26" t="s">
        <v>357</v>
      </c>
      <c r="D58" s="26" t="s">
        <v>3</v>
      </c>
      <c r="E58" s="26" t="s">
        <v>36</v>
      </c>
      <c r="F58" s="26" t="s">
        <v>31</v>
      </c>
      <c r="G58" s="26" t="s">
        <v>42</v>
      </c>
      <c r="H58" s="28">
        <v>76.168181818181822</v>
      </c>
      <c r="I58" s="26">
        <v>1</v>
      </c>
      <c r="J58" s="29">
        <v>0.05</v>
      </c>
      <c r="K58" s="30">
        <f>(Raw_Data[[#This Row],[Cena jedn. (Price unit)]]-(Raw_Data[[#This Row],[Cena jedn. (Price unit)]]*Raw_Data[[#This Row],[Zniżka (Discount)]]))*Raw_Data[[#This Row],[Ilość (Quant.)]]</f>
        <v>72.359772727272727</v>
      </c>
    </row>
    <row r="59" spans="1:11" x14ac:dyDescent="0.25">
      <c r="A59" s="26" t="s">
        <v>115</v>
      </c>
      <c r="B59" s="27">
        <v>45881</v>
      </c>
      <c r="C59" s="26" t="s">
        <v>64</v>
      </c>
      <c r="D59" s="26" t="s">
        <v>33</v>
      </c>
      <c r="E59" s="26" t="s">
        <v>312</v>
      </c>
      <c r="F59" s="26" t="s">
        <v>4</v>
      </c>
      <c r="G59" s="26" t="s">
        <v>311</v>
      </c>
      <c r="H59" s="28">
        <v>61.651111111111113</v>
      </c>
      <c r="I59" s="26">
        <v>5</v>
      </c>
      <c r="J59" s="29">
        <v>0</v>
      </c>
      <c r="K59" s="30">
        <f>(Raw_Data[[#This Row],[Cena jedn. (Price unit)]]-(Raw_Data[[#This Row],[Cena jedn. (Price unit)]]*Raw_Data[[#This Row],[Zniżka (Discount)]]))*Raw_Data[[#This Row],[Ilość (Quant.)]]</f>
        <v>308.25555555555559</v>
      </c>
    </row>
    <row r="60" spans="1:11" x14ac:dyDescent="0.25">
      <c r="A60" s="26" t="s">
        <v>116</v>
      </c>
      <c r="B60" s="27">
        <v>45857</v>
      </c>
      <c r="C60" s="26" t="s">
        <v>40</v>
      </c>
      <c r="D60" s="26" t="s">
        <v>33</v>
      </c>
      <c r="E60" s="26" t="s">
        <v>314</v>
      </c>
      <c r="F60" s="26" t="s">
        <v>17</v>
      </c>
      <c r="G60" s="26" t="s">
        <v>313</v>
      </c>
      <c r="H60" s="28">
        <v>38.531818181818188</v>
      </c>
      <c r="I60" s="26">
        <v>3</v>
      </c>
      <c r="J60" s="29">
        <v>0</v>
      </c>
      <c r="K60" s="30">
        <f>(Raw_Data[[#This Row],[Cena jedn. (Price unit)]]-(Raw_Data[[#This Row],[Cena jedn. (Price unit)]]*Raw_Data[[#This Row],[Zniżka (Discount)]]))*Raw_Data[[#This Row],[Ilość (Quant.)]]</f>
        <v>115.59545454545457</v>
      </c>
    </row>
    <row r="61" spans="1:11" x14ac:dyDescent="0.25">
      <c r="A61" s="26" t="s">
        <v>117</v>
      </c>
      <c r="B61" s="27">
        <v>45747</v>
      </c>
      <c r="C61" s="26" t="s">
        <v>27</v>
      </c>
      <c r="D61" s="26" t="s">
        <v>33</v>
      </c>
      <c r="E61" s="26" t="s">
        <v>316</v>
      </c>
      <c r="F61" s="26" t="s">
        <v>17</v>
      </c>
      <c r="G61" s="26" t="s">
        <v>315</v>
      </c>
      <c r="H61" s="28">
        <v>27.561428571428568</v>
      </c>
      <c r="I61" s="26">
        <v>2</v>
      </c>
      <c r="J61" s="29">
        <v>0.05</v>
      </c>
      <c r="K61" s="30">
        <f>(Raw_Data[[#This Row],[Cena jedn. (Price unit)]]-(Raw_Data[[#This Row],[Cena jedn. (Price unit)]]*Raw_Data[[#This Row],[Zniżka (Discount)]]))*Raw_Data[[#This Row],[Ilość (Quant.)]]</f>
        <v>52.366714285714281</v>
      </c>
    </row>
    <row r="62" spans="1:11" x14ac:dyDescent="0.25">
      <c r="A62" s="26" t="s">
        <v>120</v>
      </c>
      <c r="B62" s="27">
        <v>45914</v>
      </c>
      <c r="C62" s="26" t="s">
        <v>1</v>
      </c>
      <c r="D62" s="26" t="s">
        <v>10</v>
      </c>
      <c r="E62" s="26" t="s">
        <v>318</v>
      </c>
      <c r="F62" s="26" t="s">
        <v>31</v>
      </c>
      <c r="G62" s="26" t="s">
        <v>317</v>
      </c>
      <c r="H62" s="28">
        <v>500.77857142857135</v>
      </c>
      <c r="I62" s="26">
        <v>1</v>
      </c>
      <c r="J62" s="29">
        <v>0</v>
      </c>
      <c r="K62" s="30">
        <f>(Raw_Data[[#This Row],[Cena jedn. (Price unit)]]-(Raw_Data[[#This Row],[Cena jedn. (Price unit)]]*Raw_Data[[#This Row],[Zniżka (Discount)]]))*Raw_Data[[#This Row],[Ilość (Quant.)]]</f>
        <v>500.77857142857135</v>
      </c>
    </row>
    <row r="63" spans="1:11" x14ac:dyDescent="0.25">
      <c r="A63" s="26" t="s">
        <v>121</v>
      </c>
      <c r="B63" s="27">
        <v>45747</v>
      </c>
      <c r="C63" s="26" t="s">
        <v>362</v>
      </c>
      <c r="D63" s="26" t="s">
        <v>3</v>
      </c>
      <c r="E63" s="26" t="s">
        <v>320</v>
      </c>
      <c r="F63" s="26" t="s">
        <v>20</v>
      </c>
      <c r="G63" s="26" t="s">
        <v>319</v>
      </c>
      <c r="H63" s="28">
        <v>78.323333333333323</v>
      </c>
      <c r="I63" s="26">
        <v>2</v>
      </c>
      <c r="J63" s="29">
        <v>0</v>
      </c>
      <c r="K63" s="30">
        <f>(Raw_Data[[#This Row],[Cena jedn. (Price unit)]]-(Raw_Data[[#This Row],[Cena jedn. (Price unit)]]*Raw_Data[[#This Row],[Zniżka (Discount)]]))*Raw_Data[[#This Row],[Ilość (Quant.)]]</f>
        <v>156.64666666666665</v>
      </c>
    </row>
    <row r="64" spans="1:11" x14ac:dyDescent="0.25">
      <c r="A64" s="26" t="s">
        <v>122</v>
      </c>
      <c r="B64" s="27">
        <v>45870</v>
      </c>
      <c r="C64" s="26" t="s">
        <v>363</v>
      </c>
      <c r="D64" s="26" t="s">
        <v>3</v>
      </c>
      <c r="E64" s="26" t="s">
        <v>322</v>
      </c>
      <c r="F64" s="26" t="s">
        <v>20</v>
      </c>
      <c r="G64" s="26" t="s">
        <v>321</v>
      </c>
      <c r="H64" s="28">
        <v>100.79444444444442</v>
      </c>
      <c r="I64" s="26">
        <v>3</v>
      </c>
      <c r="J64" s="29">
        <v>0.1</v>
      </c>
      <c r="K64" s="30">
        <f>(Raw_Data[[#This Row],[Cena jedn. (Price unit)]]-(Raw_Data[[#This Row],[Cena jedn. (Price unit)]]*Raw_Data[[#This Row],[Zniżka (Discount)]]))*Raw_Data[[#This Row],[Ilość (Quant.)]]</f>
        <v>272.14499999999992</v>
      </c>
    </row>
    <row r="65" spans="1:11" x14ac:dyDescent="0.25">
      <c r="A65" s="26" t="s">
        <v>125</v>
      </c>
      <c r="B65" s="27">
        <v>45737</v>
      </c>
      <c r="C65" s="26" t="s">
        <v>361</v>
      </c>
      <c r="D65" s="26" t="s">
        <v>10</v>
      </c>
      <c r="E65" s="26" t="s">
        <v>322</v>
      </c>
      <c r="F65" s="26" t="s">
        <v>20</v>
      </c>
      <c r="G65" s="26" t="s">
        <v>321</v>
      </c>
      <c r="H65" s="28">
        <v>184.23565217391305</v>
      </c>
      <c r="I65" s="26">
        <v>2</v>
      </c>
      <c r="J65" s="29">
        <v>0</v>
      </c>
      <c r="K65" s="30">
        <f>(Raw_Data[[#This Row],[Cena jedn. (Price unit)]]-(Raw_Data[[#This Row],[Cena jedn. (Price unit)]]*Raw_Data[[#This Row],[Zniżka (Discount)]]))*Raw_Data[[#This Row],[Ilość (Quant.)]]</f>
        <v>368.47130434782611</v>
      </c>
    </row>
    <row r="66" spans="1:11" x14ac:dyDescent="0.25">
      <c r="A66" s="26" t="s">
        <v>126</v>
      </c>
      <c r="B66" s="27">
        <v>45961</v>
      </c>
      <c r="C66" s="26" t="s">
        <v>359</v>
      </c>
      <c r="D66" s="26" t="s">
        <v>13</v>
      </c>
      <c r="E66" s="26" t="s">
        <v>322</v>
      </c>
      <c r="F66" s="26" t="s">
        <v>20</v>
      </c>
      <c r="G66" s="26" t="s">
        <v>321</v>
      </c>
      <c r="H66" s="28">
        <v>147.55521739130435</v>
      </c>
      <c r="I66" s="26">
        <v>4</v>
      </c>
      <c r="J66" s="29">
        <v>0.2</v>
      </c>
      <c r="K66" s="30">
        <f>(Raw_Data[[#This Row],[Cena jedn. (Price unit)]]-(Raw_Data[[#This Row],[Cena jedn. (Price unit)]]*Raw_Data[[#This Row],[Zniżka (Discount)]]))*Raw_Data[[#This Row],[Ilość (Quant.)]]</f>
        <v>472.17669565217392</v>
      </c>
    </row>
    <row r="67" spans="1:11" x14ac:dyDescent="0.25">
      <c r="A67" s="26" t="s">
        <v>127</v>
      </c>
      <c r="B67" s="27">
        <v>45940</v>
      </c>
      <c r="C67" s="26" t="s">
        <v>364</v>
      </c>
      <c r="D67" s="26" t="s">
        <v>33</v>
      </c>
      <c r="E67" s="26" t="s">
        <v>322</v>
      </c>
      <c r="F67" s="26" t="s">
        <v>20</v>
      </c>
      <c r="G67" s="26" t="s">
        <v>321</v>
      </c>
      <c r="H67" s="28">
        <v>15.267777777777779</v>
      </c>
      <c r="I67" s="26">
        <v>4</v>
      </c>
      <c r="J67" s="29">
        <v>0</v>
      </c>
      <c r="K67" s="30">
        <f>(Raw_Data[[#This Row],[Cena jedn. (Price unit)]]-(Raw_Data[[#This Row],[Cena jedn. (Price unit)]]*Raw_Data[[#This Row],[Zniżka (Discount)]]))*Raw_Data[[#This Row],[Ilość (Quant.)]]</f>
        <v>61.071111111111115</v>
      </c>
    </row>
    <row r="68" spans="1:11" x14ac:dyDescent="0.25">
      <c r="A68" s="26" t="s">
        <v>128</v>
      </c>
      <c r="B68" s="27">
        <v>45982</v>
      </c>
      <c r="C68" s="26" t="s">
        <v>365</v>
      </c>
      <c r="D68" s="26" t="s">
        <v>13</v>
      </c>
      <c r="E68" s="26" t="s">
        <v>322</v>
      </c>
      <c r="F68" s="26" t="s">
        <v>20</v>
      </c>
      <c r="G68" s="26" t="s">
        <v>321</v>
      </c>
      <c r="H68" s="28">
        <v>7.6511111111111108</v>
      </c>
      <c r="I68" s="26">
        <v>1</v>
      </c>
      <c r="J68" s="29">
        <v>0.05</v>
      </c>
      <c r="K68" s="30">
        <f>(Raw_Data[[#This Row],[Cena jedn. (Price unit)]]-(Raw_Data[[#This Row],[Cena jedn. (Price unit)]]*Raw_Data[[#This Row],[Zniżka (Discount)]]))*Raw_Data[[#This Row],[Ilość (Quant.)]]</f>
        <v>7.2685555555555554</v>
      </c>
    </row>
    <row r="69" spans="1:11" x14ac:dyDescent="0.25">
      <c r="A69" s="26" t="s">
        <v>129</v>
      </c>
      <c r="B69" s="27">
        <v>45850</v>
      </c>
      <c r="C69" s="26" t="s">
        <v>367</v>
      </c>
      <c r="D69" s="26" t="s">
        <v>3</v>
      </c>
      <c r="E69" s="26" t="s">
        <v>44</v>
      </c>
      <c r="F69" s="26" t="s">
        <v>31</v>
      </c>
      <c r="G69" s="26" t="s">
        <v>46</v>
      </c>
      <c r="H69" s="28">
        <v>529.41857142857145</v>
      </c>
      <c r="I69" s="26">
        <v>1</v>
      </c>
      <c r="J69" s="29">
        <v>0</v>
      </c>
      <c r="K69" s="30">
        <f>(Raw_Data[[#This Row],[Cena jedn. (Price unit)]]-(Raw_Data[[#This Row],[Cena jedn. (Price unit)]]*Raw_Data[[#This Row],[Zniżka (Discount)]]))*Raw_Data[[#This Row],[Ilość (Quant.)]]</f>
        <v>529.41857142857145</v>
      </c>
    </row>
    <row r="70" spans="1:11" hidden="1" x14ac:dyDescent="0.25">
      <c r="A70" s="26" t="s">
        <v>132</v>
      </c>
      <c r="B70" s="27">
        <v>45991</v>
      </c>
      <c r="C70" s="26" t="s">
        <v>8</v>
      </c>
      <c r="D70" s="26" t="s">
        <v>13</v>
      </c>
      <c r="E70" s="26" t="s">
        <v>324</v>
      </c>
      <c r="F70" s="26" t="s">
        <v>17</v>
      </c>
      <c r="G70" s="26" t="s">
        <v>323</v>
      </c>
      <c r="H70" s="28">
        <v>11.367777777777778</v>
      </c>
      <c r="I70" s="26">
        <v>2</v>
      </c>
      <c r="J70" s="29">
        <v>0.15</v>
      </c>
      <c r="K70" s="30">
        <f>(Raw_Data[[#This Row],[Cena jedn. (Price unit)]]-(Raw_Data[[#This Row],[Cena jedn. (Price unit)]]*Raw_Data[[#This Row],[Zniżka (Discount)]]))*Raw_Data[[#This Row],[Ilość (Quant.)]]</f>
        <v>19.325222222222223</v>
      </c>
    </row>
    <row r="71" spans="1:11" hidden="1" x14ac:dyDescent="0.25">
      <c r="A71" s="26" t="s">
        <v>133</v>
      </c>
      <c r="B71" s="27">
        <v>45708</v>
      </c>
      <c r="C71" s="26" t="s">
        <v>366</v>
      </c>
      <c r="D71" s="26" t="s">
        <v>3</v>
      </c>
      <c r="E71" s="26" t="s">
        <v>326</v>
      </c>
      <c r="F71" s="26" t="s">
        <v>4</v>
      </c>
      <c r="G71" s="26" t="s">
        <v>325</v>
      </c>
      <c r="H71" s="28">
        <v>679.20714285714303</v>
      </c>
      <c r="I71" s="26">
        <v>4</v>
      </c>
      <c r="J71" s="29">
        <v>0</v>
      </c>
      <c r="K71" s="30">
        <f>(Raw_Data[[#This Row],[Cena jedn. (Price unit)]]-(Raw_Data[[#This Row],[Cena jedn. (Price unit)]]*Raw_Data[[#This Row],[Zniżka (Discount)]]))*Raw_Data[[#This Row],[Ilość (Quant.)]]</f>
        <v>2716.8285714285721</v>
      </c>
    </row>
    <row r="72" spans="1:11" hidden="1" x14ac:dyDescent="0.25">
      <c r="A72" s="26" t="s">
        <v>134</v>
      </c>
      <c r="B72" s="27">
        <v>45963</v>
      </c>
      <c r="C72" s="26" t="s">
        <v>64</v>
      </c>
      <c r="D72" s="26" t="s">
        <v>3</v>
      </c>
      <c r="E72" s="26" t="s">
        <v>328</v>
      </c>
      <c r="F72" s="26" t="s">
        <v>14</v>
      </c>
      <c r="G72" s="26" t="s">
        <v>327</v>
      </c>
      <c r="H72" s="28">
        <v>74.678888888888906</v>
      </c>
      <c r="I72" s="26">
        <v>4</v>
      </c>
      <c r="J72" s="29">
        <v>0</v>
      </c>
      <c r="K72" s="30">
        <f>(Raw_Data[[#This Row],[Cena jedn. (Price unit)]]-(Raw_Data[[#This Row],[Cena jedn. (Price unit)]]*Raw_Data[[#This Row],[Zniżka (Discount)]]))*Raw_Data[[#This Row],[Ilość (Quant.)]]</f>
        <v>298.71555555555562</v>
      </c>
    </row>
    <row r="73" spans="1:11" x14ac:dyDescent="0.25">
      <c r="A73" s="26" t="s">
        <v>135</v>
      </c>
      <c r="B73" s="27">
        <v>45883</v>
      </c>
      <c r="C73" s="26" t="s">
        <v>357</v>
      </c>
      <c r="D73" s="26" t="s">
        <v>13</v>
      </c>
      <c r="E73" s="26" t="s">
        <v>330</v>
      </c>
      <c r="F73" s="26" t="s">
        <v>17</v>
      </c>
      <c r="G73" s="26" t="s">
        <v>329</v>
      </c>
      <c r="H73" s="28">
        <v>72.349999999999994</v>
      </c>
      <c r="I73" s="26">
        <v>3</v>
      </c>
      <c r="J73" s="29">
        <v>0</v>
      </c>
      <c r="K73" s="30">
        <f>(Raw_Data[[#This Row],[Cena jedn. (Price unit)]]-(Raw_Data[[#This Row],[Cena jedn. (Price unit)]]*Raw_Data[[#This Row],[Zniżka (Discount)]]))*Raw_Data[[#This Row],[Ilość (Quant.)]]</f>
        <v>217.04999999999998</v>
      </c>
    </row>
    <row r="74" spans="1:11" hidden="1" x14ac:dyDescent="0.25">
      <c r="A74" s="26" t="s">
        <v>138</v>
      </c>
      <c r="B74" s="27">
        <v>45998</v>
      </c>
      <c r="C74" s="26" t="s">
        <v>362</v>
      </c>
      <c r="D74" s="26" t="s">
        <v>10</v>
      </c>
      <c r="E74" s="26" t="s">
        <v>330</v>
      </c>
      <c r="F74" s="26" t="s">
        <v>17</v>
      </c>
      <c r="G74" s="26" t="s">
        <v>329</v>
      </c>
      <c r="H74" s="28">
        <v>81.873333333333349</v>
      </c>
      <c r="I74" s="26">
        <v>2</v>
      </c>
      <c r="J74" s="29">
        <v>0</v>
      </c>
      <c r="K74" s="30">
        <f>(Raw_Data[[#This Row],[Cena jedn. (Price unit)]]-(Raw_Data[[#This Row],[Cena jedn. (Price unit)]]*Raw_Data[[#This Row],[Zniżka (Discount)]]))*Raw_Data[[#This Row],[Ilość (Quant.)]]</f>
        <v>163.7466666666667</v>
      </c>
    </row>
    <row r="75" spans="1:11" hidden="1" x14ac:dyDescent="0.25">
      <c r="A75" s="26" t="s">
        <v>140</v>
      </c>
      <c r="B75" s="27">
        <v>46008</v>
      </c>
      <c r="C75" s="26" t="s">
        <v>363</v>
      </c>
      <c r="D75" s="26" t="s">
        <v>13</v>
      </c>
      <c r="E75" s="26" t="s">
        <v>330</v>
      </c>
      <c r="F75" s="26" t="s">
        <v>17</v>
      </c>
      <c r="G75" s="26" t="s">
        <v>329</v>
      </c>
      <c r="H75" s="28">
        <v>116.98444444444445</v>
      </c>
      <c r="I75" s="26">
        <v>2</v>
      </c>
      <c r="J75" s="29">
        <v>0</v>
      </c>
      <c r="K75" s="30">
        <f>(Raw_Data[[#This Row],[Cena jedn. (Price unit)]]-(Raw_Data[[#This Row],[Cena jedn. (Price unit)]]*Raw_Data[[#This Row],[Zniżka (Discount)]]))*Raw_Data[[#This Row],[Ilość (Quant.)]]</f>
        <v>233.9688888888889</v>
      </c>
    </row>
    <row r="76" spans="1:11" x14ac:dyDescent="0.25">
      <c r="A76" s="26" t="s">
        <v>141</v>
      </c>
      <c r="B76" s="27">
        <v>45849</v>
      </c>
      <c r="C76" s="26" t="s">
        <v>364</v>
      </c>
      <c r="D76" s="26" t="s">
        <v>33</v>
      </c>
      <c r="E76" s="26" t="s">
        <v>330</v>
      </c>
      <c r="F76" s="26" t="s">
        <v>17</v>
      </c>
      <c r="G76" s="26" t="s">
        <v>329</v>
      </c>
      <c r="H76" s="28">
        <v>14.823333333333334</v>
      </c>
      <c r="I76" s="26">
        <v>4</v>
      </c>
      <c r="J76" s="29">
        <v>0</v>
      </c>
      <c r="K76" s="30">
        <f>(Raw_Data[[#This Row],[Cena jedn. (Price unit)]]-(Raw_Data[[#This Row],[Cena jedn. (Price unit)]]*Raw_Data[[#This Row],[Zniżka (Discount)]]))*Raw_Data[[#This Row],[Ilość (Quant.)]]</f>
        <v>59.293333333333337</v>
      </c>
    </row>
    <row r="77" spans="1:11" x14ac:dyDescent="0.25">
      <c r="A77" s="26" t="s">
        <v>144</v>
      </c>
      <c r="B77" s="27">
        <v>45858</v>
      </c>
      <c r="C77" s="26" t="s">
        <v>22</v>
      </c>
      <c r="D77" s="26" t="s">
        <v>10</v>
      </c>
      <c r="E77" s="26" t="s">
        <v>330</v>
      </c>
      <c r="F77" s="26" t="s">
        <v>17</v>
      </c>
      <c r="G77" s="26" t="s">
        <v>329</v>
      </c>
      <c r="H77" s="28">
        <v>88.366086956521755</v>
      </c>
      <c r="I77" s="26">
        <v>3</v>
      </c>
      <c r="J77" s="29">
        <v>0</v>
      </c>
      <c r="K77" s="30">
        <f>(Raw_Data[[#This Row],[Cena jedn. (Price unit)]]-(Raw_Data[[#This Row],[Cena jedn. (Price unit)]]*Raw_Data[[#This Row],[Zniżka (Discount)]]))*Raw_Data[[#This Row],[Ilość (Quant.)]]</f>
        <v>265.09826086956525</v>
      </c>
    </row>
    <row r="78" spans="1:11" x14ac:dyDescent="0.25">
      <c r="A78" s="26" t="s">
        <v>145</v>
      </c>
      <c r="B78" s="27">
        <v>45915</v>
      </c>
      <c r="C78" s="26" t="s">
        <v>367</v>
      </c>
      <c r="D78" s="26" t="s">
        <v>33</v>
      </c>
      <c r="E78" s="26" t="s">
        <v>330</v>
      </c>
      <c r="F78" s="26" t="s">
        <v>17</v>
      </c>
      <c r="G78" s="26" t="s">
        <v>329</v>
      </c>
      <c r="H78" s="28">
        <v>490.20714285714291</v>
      </c>
      <c r="I78" s="26">
        <v>2</v>
      </c>
      <c r="J78" s="29">
        <v>0</v>
      </c>
      <c r="K78" s="30">
        <f>(Raw_Data[[#This Row],[Cena jedn. (Price unit)]]-(Raw_Data[[#This Row],[Cena jedn. (Price unit)]]*Raw_Data[[#This Row],[Zniżka (Discount)]]))*Raw_Data[[#This Row],[Ilość (Quant.)]]</f>
        <v>980.41428571428582</v>
      </c>
    </row>
    <row r="79" spans="1:11" hidden="1" x14ac:dyDescent="0.25">
      <c r="A79" s="26" t="s">
        <v>146</v>
      </c>
      <c r="B79" s="27">
        <v>46011</v>
      </c>
      <c r="C79" s="26" t="s">
        <v>365</v>
      </c>
      <c r="D79" s="26" t="s">
        <v>10</v>
      </c>
      <c r="E79" s="26" t="s">
        <v>330</v>
      </c>
      <c r="F79" s="26" t="s">
        <v>17</v>
      </c>
      <c r="G79" s="26" t="s">
        <v>329</v>
      </c>
      <c r="H79" s="28">
        <v>8.456666666666667</v>
      </c>
      <c r="I79" s="26">
        <v>1</v>
      </c>
      <c r="J79" s="29">
        <v>0</v>
      </c>
      <c r="K79" s="30">
        <f>(Raw_Data[[#This Row],[Cena jedn. (Price unit)]]-(Raw_Data[[#This Row],[Cena jedn. (Price unit)]]*Raw_Data[[#This Row],[Zniżka (Discount)]]))*Raw_Data[[#This Row],[Ilość (Quant.)]]</f>
        <v>8.456666666666667</v>
      </c>
    </row>
    <row r="80" spans="1:11" x14ac:dyDescent="0.25">
      <c r="A80" s="26" t="s">
        <v>147</v>
      </c>
      <c r="B80" s="27">
        <v>45814</v>
      </c>
      <c r="C80" s="26" t="s">
        <v>360</v>
      </c>
      <c r="D80" s="26" t="s">
        <v>33</v>
      </c>
      <c r="E80" s="26" t="s">
        <v>44</v>
      </c>
      <c r="F80" s="26" t="s">
        <v>31</v>
      </c>
      <c r="G80" s="26" t="s">
        <v>46</v>
      </c>
      <c r="H80" s="28">
        <v>88.610869565217371</v>
      </c>
      <c r="I80" s="26">
        <v>5</v>
      </c>
      <c r="J80" s="29">
        <v>0.15</v>
      </c>
      <c r="K80" s="30">
        <f>(Raw_Data[[#This Row],[Cena jedn. (Price unit)]]-(Raw_Data[[#This Row],[Cena jedn. (Price unit)]]*Raw_Data[[#This Row],[Zniżka (Discount)]]))*Raw_Data[[#This Row],[Ilość (Quant.)]]</f>
        <v>376.59619565217383</v>
      </c>
    </row>
    <row r="81" spans="1:11" x14ac:dyDescent="0.25">
      <c r="A81" s="26" t="s">
        <v>148</v>
      </c>
      <c r="B81" s="27">
        <v>45907</v>
      </c>
      <c r="C81" s="26" t="s">
        <v>368</v>
      </c>
      <c r="D81" s="26" t="s">
        <v>13</v>
      </c>
      <c r="E81" s="26" t="s">
        <v>332</v>
      </c>
      <c r="F81" s="26" t="s">
        <v>14</v>
      </c>
      <c r="G81" s="26" t="s">
        <v>331</v>
      </c>
      <c r="H81" s="28">
        <v>41.39</v>
      </c>
      <c r="I81" s="26">
        <v>3</v>
      </c>
      <c r="J81" s="29">
        <v>0</v>
      </c>
      <c r="K81" s="30">
        <f>(Raw_Data[[#This Row],[Cena jedn. (Price unit)]]-(Raw_Data[[#This Row],[Cena jedn. (Price unit)]]*Raw_Data[[#This Row],[Zniżka (Discount)]]))*Raw_Data[[#This Row],[Ilość (Quant.)]]</f>
        <v>124.17</v>
      </c>
    </row>
    <row r="82" spans="1:11" x14ac:dyDescent="0.25">
      <c r="A82" s="26" t="s">
        <v>150</v>
      </c>
      <c r="B82" s="27">
        <v>45947</v>
      </c>
      <c r="C82" s="26" t="s">
        <v>8</v>
      </c>
      <c r="D82" s="26" t="s">
        <v>33</v>
      </c>
      <c r="E82" s="26" t="s">
        <v>332</v>
      </c>
      <c r="F82" s="26" t="s">
        <v>14</v>
      </c>
      <c r="G82" s="26" t="s">
        <v>331</v>
      </c>
      <c r="H82" s="28">
        <v>10.65111111111111</v>
      </c>
      <c r="I82" s="26">
        <v>1</v>
      </c>
      <c r="J82" s="29">
        <v>0.15</v>
      </c>
      <c r="K82" s="30">
        <f>(Raw_Data[[#This Row],[Cena jedn. (Price unit)]]-(Raw_Data[[#This Row],[Cena jedn. (Price unit)]]*Raw_Data[[#This Row],[Zniżka (Discount)]]))*Raw_Data[[#This Row],[Ilość (Quant.)]]</f>
        <v>9.0534444444444429</v>
      </c>
    </row>
    <row r="83" spans="1:11" x14ac:dyDescent="0.25">
      <c r="A83" s="26" t="s">
        <v>152</v>
      </c>
      <c r="B83" s="27">
        <v>45665</v>
      </c>
      <c r="C83" s="26" t="s">
        <v>358</v>
      </c>
      <c r="D83" s="26" t="s">
        <v>33</v>
      </c>
      <c r="E83" s="26" t="s">
        <v>332</v>
      </c>
      <c r="F83" s="26" t="s">
        <v>14</v>
      </c>
      <c r="G83" s="26" t="s">
        <v>331</v>
      </c>
      <c r="H83" s="28">
        <v>39.171818181818182</v>
      </c>
      <c r="I83" s="26">
        <v>3</v>
      </c>
      <c r="J83" s="29">
        <v>0</v>
      </c>
      <c r="K83" s="30">
        <f>(Raw_Data[[#This Row],[Cena jedn. (Price unit)]]-(Raw_Data[[#This Row],[Cena jedn. (Price unit)]]*Raw_Data[[#This Row],[Zniżka (Discount)]]))*Raw_Data[[#This Row],[Ilość (Quant.)]]</f>
        <v>117.51545454545455</v>
      </c>
    </row>
    <row r="84" spans="1:11" x14ac:dyDescent="0.25">
      <c r="A84" s="26" t="s">
        <v>153</v>
      </c>
      <c r="B84" s="27">
        <v>45866</v>
      </c>
      <c r="C84" s="26" t="s">
        <v>27</v>
      </c>
      <c r="D84" s="26" t="s">
        <v>33</v>
      </c>
      <c r="E84" s="26" t="s">
        <v>334</v>
      </c>
      <c r="F84" s="26" t="s">
        <v>14</v>
      </c>
      <c r="G84" s="26" t="s">
        <v>333</v>
      </c>
      <c r="H84" s="28">
        <v>27.111428571428569</v>
      </c>
      <c r="I84" s="26">
        <v>4</v>
      </c>
      <c r="J84" s="29">
        <v>0.1</v>
      </c>
      <c r="K84" s="30">
        <f>(Raw_Data[[#This Row],[Cena jedn. (Price unit)]]-(Raw_Data[[#This Row],[Cena jedn. (Price unit)]]*Raw_Data[[#This Row],[Zniżka (Discount)]]))*Raw_Data[[#This Row],[Ilość (Quant.)]]</f>
        <v>97.601142857142847</v>
      </c>
    </row>
    <row r="85" spans="1:11" x14ac:dyDescent="0.25">
      <c r="A85" s="26" t="s">
        <v>156</v>
      </c>
      <c r="B85" s="27">
        <v>45931</v>
      </c>
      <c r="C85" s="26" t="s">
        <v>357</v>
      </c>
      <c r="D85" s="26" t="s">
        <v>3</v>
      </c>
      <c r="E85" s="26" t="s">
        <v>334</v>
      </c>
      <c r="F85" s="26" t="s">
        <v>14</v>
      </c>
      <c r="G85" s="26" t="s">
        <v>333</v>
      </c>
      <c r="H85" s="28">
        <v>62.971818181818186</v>
      </c>
      <c r="I85" s="26">
        <v>4</v>
      </c>
      <c r="J85" s="29">
        <v>0.05</v>
      </c>
      <c r="K85" s="30">
        <f>(Raw_Data[[#This Row],[Cena jedn. (Price unit)]]-(Raw_Data[[#This Row],[Cena jedn. (Price unit)]]*Raw_Data[[#This Row],[Zniżka (Discount)]]))*Raw_Data[[#This Row],[Ilość (Quant.)]]</f>
        <v>239.29290909090912</v>
      </c>
    </row>
    <row r="86" spans="1:11" hidden="1" x14ac:dyDescent="0.25">
      <c r="A86" s="26" t="s">
        <v>157</v>
      </c>
      <c r="B86" s="27">
        <v>46014</v>
      </c>
      <c r="C86" s="26" t="s">
        <v>1</v>
      </c>
      <c r="D86" s="26" t="s">
        <v>13</v>
      </c>
      <c r="E86" s="26" t="s">
        <v>336</v>
      </c>
      <c r="F86" s="26" t="s">
        <v>296</v>
      </c>
      <c r="G86" s="26" t="s">
        <v>335</v>
      </c>
      <c r="H86" s="28">
        <v>562.77857142857147</v>
      </c>
      <c r="I86" s="26">
        <v>2</v>
      </c>
      <c r="J86" s="29">
        <v>0.05</v>
      </c>
      <c r="K86" s="30">
        <f>(Raw_Data[[#This Row],[Cena jedn. (Price unit)]]-(Raw_Data[[#This Row],[Cena jedn. (Price unit)]]*Raw_Data[[#This Row],[Zniżka (Discount)]]))*Raw_Data[[#This Row],[Ilość (Quant.)]]</f>
        <v>1069.2792857142858</v>
      </c>
    </row>
    <row r="87" spans="1:11" hidden="1" x14ac:dyDescent="0.25">
      <c r="A87" s="26" t="s">
        <v>158</v>
      </c>
      <c r="B87" s="27">
        <v>45968</v>
      </c>
      <c r="C87" s="26" t="s">
        <v>366</v>
      </c>
      <c r="D87" s="26" t="s">
        <v>13</v>
      </c>
      <c r="E87" s="26" t="s">
        <v>336</v>
      </c>
      <c r="F87" s="26" t="s">
        <v>296</v>
      </c>
      <c r="G87" s="26" t="s">
        <v>335</v>
      </c>
      <c r="H87" s="28">
        <v>540.49000000000012</v>
      </c>
      <c r="I87" s="26">
        <v>3</v>
      </c>
      <c r="J87" s="29">
        <v>0.15</v>
      </c>
      <c r="K87" s="30">
        <f>(Raw_Data[[#This Row],[Cena jedn. (Price unit)]]-(Raw_Data[[#This Row],[Cena jedn. (Price unit)]]*Raw_Data[[#This Row],[Zniżka (Discount)]]))*Raw_Data[[#This Row],[Ilość (Quant.)]]</f>
        <v>1378.2495000000004</v>
      </c>
    </row>
    <row r="88" spans="1:11" x14ac:dyDescent="0.25">
      <c r="A88" s="26" t="s">
        <v>159</v>
      </c>
      <c r="B88" s="27">
        <v>45769</v>
      </c>
      <c r="C88" s="26" t="s">
        <v>22</v>
      </c>
      <c r="D88" s="26" t="s">
        <v>33</v>
      </c>
      <c r="E88" s="26" t="s">
        <v>336</v>
      </c>
      <c r="F88" s="26" t="s">
        <v>296</v>
      </c>
      <c r="G88" s="26" t="s">
        <v>335</v>
      </c>
      <c r="H88" s="28">
        <v>111.22478260869566</v>
      </c>
      <c r="I88" s="26">
        <v>4</v>
      </c>
      <c r="J88" s="29">
        <v>0</v>
      </c>
      <c r="K88" s="30">
        <f>(Raw_Data[[#This Row],[Cena jedn. (Price unit)]]-(Raw_Data[[#This Row],[Cena jedn. (Price unit)]]*Raw_Data[[#This Row],[Zniżka (Discount)]]))*Raw_Data[[#This Row],[Ilość (Quant.)]]</f>
        <v>444.89913043478265</v>
      </c>
    </row>
    <row r="89" spans="1:11" x14ac:dyDescent="0.25">
      <c r="A89" s="26" t="s">
        <v>160</v>
      </c>
      <c r="B89" s="27">
        <v>45686</v>
      </c>
      <c r="C89" s="26" t="s">
        <v>64</v>
      </c>
      <c r="D89" s="26" t="s">
        <v>10</v>
      </c>
      <c r="E89" s="26" t="s">
        <v>336</v>
      </c>
      <c r="F89" s="26" t="s">
        <v>296</v>
      </c>
      <c r="G89" s="26" t="s">
        <v>335</v>
      </c>
      <c r="H89" s="28">
        <v>64.878888888888881</v>
      </c>
      <c r="I89" s="26">
        <v>5</v>
      </c>
      <c r="J89" s="29">
        <v>0</v>
      </c>
      <c r="K89" s="30">
        <f>(Raw_Data[[#This Row],[Cena jedn. (Price unit)]]-(Raw_Data[[#This Row],[Cena jedn. (Price unit)]]*Raw_Data[[#This Row],[Zniżka (Discount)]]))*Raw_Data[[#This Row],[Ilość (Quant.)]]</f>
        <v>324.39444444444439</v>
      </c>
    </row>
    <row r="90" spans="1:11" x14ac:dyDescent="0.25">
      <c r="A90" s="26" t="s">
        <v>163</v>
      </c>
      <c r="B90" s="27">
        <v>45883</v>
      </c>
      <c r="C90" s="26" t="s">
        <v>360</v>
      </c>
      <c r="D90" s="26" t="s">
        <v>3</v>
      </c>
      <c r="E90" s="26" t="s">
        <v>336</v>
      </c>
      <c r="F90" s="26" t="s">
        <v>296</v>
      </c>
      <c r="G90" s="26" t="s">
        <v>335</v>
      </c>
      <c r="H90" s="28">
        <v>77.637826086956522</v>
      </c>
      <c r="I90" s="26">
        <v>3</v>
      </c>
      <c r="J90" s="29">
        <v>0.1</v>
      </c>
      <c r="K90" s="30">
        <f>(Raw_Data[[#This Row],[Cena jedn. (Price unit)]]-(Raw_Data[[#This Row],[Cena jedn. (Price unit)]]*Raw_Data[[#This Row],[Zniżka (Discount)]]))*Raw_Data[[#This Row],[Ilość (Quant.)]]</f>
        <v>209.6221304347826</v>
      </c>
    </row>
    <row r="91" spans="1:11" hidden="1" x14ac:dyDescent="0.25">
      <c r="A91" s="26" t="s">
        <v>164</v>
      </c>
      <c r="B91" s="27">
        <v>45987</v>
      </c>
      <c r="C91" s="26" t="s">
        <v>368</v>
      </c>
      <c r="D91" s="26" t="s">
        <v>3</v>
      </c>
      <c r="E91" s="26" t="s">
        <v>49</v>
      </c>
      <c r="F91" s="26" t="s">
        <v>14</v>
      </c>
      <c r="G91" s="26" t="s">
        <v>48</v>
      </c>
      <c r="H91" s="28">
        <v>43.290000000000006</v>
      </c>
      <c r="I91" s="26">
        <v>5</v>
      </c>
      <c r="J91" s="29">
        <v>0.1</v>
      </c>
      <c r="K91" s="30">
        <f>(Raw_Data[[#This Row],[Cena jedn. (Price unit)]]-(Raw_Data[[#This Row],[Cena jedn. (Price unit)]]*Raw_Data[[#This Row],[Zniżka (Discount)]]))*Raw_Data[[#This Row],[Ilość (Quant.)]]</f>
        <v>194.80500000000004</v>
      </c>
    </row>
    <row r="92" spans="1:11" hidden="1" x14ac:dyDescent="0.25">
      <c r="A92" s="26" t="s">
        <v>167</v>
      </c>
      <c r="B92" s="27">
        <v>45994</v>
      </c>
      <c r="C92" s="26" t="s">
        <v>362</v>
      </c>
      <c r="D92" s="26" t="s">
        <v>10</v>
      </c>
      <c r="E92" s="26" t="s">
        <v>336</v>
      </c>
      <c r="F92" s="26" t="s">
        <v>296</v>
      </c>
      <c r="G92" s="26" t="s">
        <v>335</v>
      </c>
      <c r="H92" s="28">
        <v>86.79000000000002</v>
      </c>
      <c r="I92" s="26">
        <v>3</v>
      </c>
      <c r="J92" s="29">
        <v>0.1</v>
      </c>
      <c r="K92" s="30">
        <f>(Raw_Data[[#This Row],[Cena jedn. (Price unit)]]-(Raw_Data[[#This Row],[Cena jedn. (Price unit)]]*Raw_Data[[#This Row],[Zniżka (Discount)]]))*Raw_Data[[#This Row],[Ilość (Quant.)]]</f>
        <v>234.33300000000006</v>
      </c>
    </row>
    <row r="93" spans="1:11" hidden="1" x14ac:dyDescent="0.25">
      <c r="A93" s="26" t="s">
        <v>168</v>
      </c>
      <c r="B93" s="27">
        <v>45979</v>
      </c>
      <c r="C93" s="26" t="s">
        <v>361</v>
      </c>
      <c r="D93" s="26" t="s">
        <v>33</v>
      </c>
      <c r="E93" s="26" t="s">
        <v>336</v>
      </c>
      <c r="F93" s="26" t="s">
        <v>296</v>
      </c>
      <c r="G93" s="26" t="s">
        <v>335</v>
      </c>
      <c r="H93" s="28">
        <v>188.28478260869568</v>
      </c>
      <c r="I93" s="26">
        <v>4</v>
      </c>
      <c r="J93" s="29">
        <v>0.05</v>
      </c>
      <c r="K93" s="30">
        <f>(Raw_Data[[#This Row],[Cena jedn. (Price unit)]]-(Raw_Data[[#This Row],[Cena jedn. (Price unit)]]*Raw_Data[[#This Row],[Zniżka (Discount)]]))*Raw_Data[[#This Row],[Ilość (Quant.)]]</f>
        <v>715.48217391304354</v>
      </c>
    </row>
    <row r="94" spans="1:11" x14ac:dyDescent="0.25">
      <c r="A94" s="26" t="s">
        <v>169</v>
      </c>
      <c r="B94" s="27">
        <v>45899</v>
      </c>
      <c r="C94" s="26" t="s">
        <v>367</v>
      </c>
      <c r="D94" s="26" t="s">
        <v>33</v>
      </c>
      <c r="E94" s="26" t="s">
        <v>338</v>
      </c>
      <c r="F94" s="26" t="s">
        <v>14</v>
      </c>
      <c r="G94" s="26" t="s">
        <v>337</v>
      </c>
      <c r="H94" s="28">
        <v>451.77571428571429</v>
      </c>
      <c r="I94" s="26">
        <v>1</v>
      </c>
      <c r="J94" s="29">
        <v>0.05</v>
      </c>
      <c r="K94" s="30">
        <f>(Raw_Data[[#This Row],[Cena jedn. (Price unit)]]-(Raw_Data[[#This Row],[Cena jedn. (Price unit)]]*Raw_Data[[#This Row],[Zniżka (Discount)]]))*Raw_Data[[#This Row],[Ilość (Quant.)]]</f>
        <v>429.18692857142855</v>
      </c>
    </row>
    <row r="95" spans="1:11" x14ac:dyDescent="0.25">
      <c r="A95" s="26" t="s">
        <v>170</v>
      </c>
      <c r="B95" s="27">
        <v>45906</v>
      </c>
      <c r="C95" s="26" t="s">
        <v>363</v>
      </c>
      <c r="D95" s="26" t="s">
        <v>13</v>
      </c>
      <c r="E95" s="26" t="s">
        <v>340</v>
      </c>
      <c r="F95" s="26" t="s">
        <v>14</v>
      </c>
      <c r="G95" s="26" t="s">
        <v>339</v>
      </c>
      <c r="H95" s="28">
        <v>106.12777777777777</v>
      </c>
      <c r="I95" s="26">
        <v>1</v>
      </c>
      <c r="J95" s="29">
        <v>0.05</v>
      </c>
      <c r="K95" s="30">
        <f>(Raw_Data[[#This Row],[Cena jedn. (Price unit)]]-(Raw_Data[[#This Row],[Cena jedn. (Price unit)]]*Raw_Data[[#This Row],[Zniżka (Discount)]]))*Raw_Data[[#This Row],[Ilość (Quant.)]]</f>
        <v>100.82138888888888</v>
      </c>
    </row>
    <row r="96" spans="1:11" x14ac:dyDescent="0.25">
      <c r="A96" s="26" t="s">
        <v>171</v>
      </c>
      <c r="B96" s="27">
        <v>45925</v>
      </c>
      <c r="C96" s="26" t="s">
        <v>368</v>
      </c>
      <c r="D96" s="26" t="s">
        <v>3</v>
      </c>
      <c r="E96" s="26" t="s">
        <v>342</v>
      </c>
      <c r="F96" s="26" t="s">
        <v>14</v>
      </c>
      <c r="G96" s="26" t="s">
        <v>341</v>
      </c>
      <c r="H96" s="28">
        <v>45.190000000000005</v>
      </c>
      <c r="I96" s="26">
        <v>1</v>
      </c>
      <c r="J96" s="29">
        <v>0</v>
      </c>
      <c r="K96" s="30">
        <f>(Raw_Data[[#This Row],[Cena jedn. (Price unit)]]-(Raw_Data[[#This Row],[Cena jedn. (Price unit)]]*Raw_Data[[#This Row],[Zniżka (Discount)]]))*Raw_Data[[#This Row],[Ilość (Quant.)]]</f>
        <v>45.190000000000005</v>
      </c>
    </row>
    <row r="97" spans="1:11" x14ac:dyDescent="0.25">
      <c r="A97" s="26" t="s">
        <v>174</v>
      </c>
      <c r="B97" s="27">
        <v>45722</v>
      </c>
      <c r="C97" s="26" t="s">
        <v>64</v>
      </c>
      <c r="D97" s="26" t="s">
        <v>3</v>
      </c>
      <c r="E97" s="26" t="s">
        <v>344</v>
      </c>
      <c r="F97" s="26" t="s">
        <v>296</v>
      </c>
      <c r="G97" s="26" t="s">
        <v>343</v>
      </c>
      <c r="H97" s="28">
        <v>61.901111111111113</v>
      </c>
      <c r="I97" s="26">
        <v>2</v>
      </c>
      <c r="J97" s="29">
        <v>0</v>
      </c>
      <c r="K97" s="30">
        <f>(Raw_Data[[#This Row],[Cena jedn. (Price unit)]]-(Raw_Data[[#This Row],[Cena jedn. (Price unit)]]*Raw_Data[[#This Row],[Zniżka (Discount)]]))*Raw_Data[[#This Row],[Ilość (Quant.)]]</f>
        <v>123.80222222222223</v>
      </c>
    </row>
    <row r="98" spans="1:11" x14ac:dyDescent="0.25">
      <c r="A98" s="26" t="s">
        <v>175</v>
      </c>
      <c r="B98" s="27">
        <v>45956</v>
      </c>
      <c r="C98" s="26" t="s">
        <v>360</v>
      </c>
      <c r="D98" s="26" t="s">
        <v>3</v>
      </c>
      <c r="E98" s="26" t="s">
        <v>346</v>
      </c>
      <c r="F98" s="26" t="s">
        <v>296</v>
      </c>
      <c r="G98" s="26" t="s">
        <v>345</v>
      </c>
      <c r="H98" s="28">
        <v>102.30652173913043</v>
      </c>
      <c r="I98" s="26">
        <v>1</v>
      </c>
      <c r="J98" s="29">
        <v>0.15</v>
      </c>
      <c r="K98" s="30">
        <f>(Raw_Data[[#This Row],[Cena jedn. (Price unit)]]-(Raw_Data[[#This Row],[Cena jedn. (Price unit)]]*Raw_Data[[#This Row],[Zniżka (Discount)]]))*Raw_Data[[#This Row],[Ilość (Quant.)]]</f>
        <v>86.96054347826086</v>
      </c>
    </row>
    <row r="99" spans="1:11" x14ac:dyDescent="0.25">
      <c r="A99" s="26" t="s">
        <v>176</v>
      </c>
      <c r="B99" s="27">
        <v>45665</v>
      </c>
      <c r="C99" s="26" t="s">
        <v>358</v>
      </c>
      <c r="D99" s="26" t="s">
        <v>33</v>
      </c>
      <c r="E99" s="26" t="s">
        <v>348</v>
      </c>
      <c r="F99" s="26" t="s">
        <v>17</v>
      </c>
      <c r="G99" s="26" t="s">
        <v>347</v>
      </c>
      <c r="H99" s="28">
        <v>34.630909090909093</v>
      </c>
      <c r="I99" s="26">
        <v>2</v>
      </c>
      <c r="J99" s="29">
        <v>0.05</v>
      </c>
      <c r="K99" s="30">
        <f>(Raw_Data[[#This Row],[Cena jedn. (Price unit)]]-(Raw_Data[[#This Row],[Cena jedn. (Price unit)]]*Raw_Data[[#This Row],[Zniżka (Discount)]]))*Raw_Data[[#This Row],[Ilość (Quant.)]]</f>
        <v>65.798727272727277</v>
      </c>
    </row>
    <row r="100" spans="1:11" hidden="1" x14ac:dyDescent="0.25">
      <c r="A100" s="26" t="s">
        <v>178</v>
      </c>
      <c r="B100" s="27">
        <v>45703</v>
      </c>
      <c r="C100" s="26" t="s">
        <v>364</v>
      </c>
      <c r="D100" s="26" t="s">
        <v>33</v>
      </c>
      <c r="E100" s="26" t="s">
        <v>348</v>
      </c>
      <c r="F100" s="26" t="s">
        <v>17</v>
      </c>
      <c r="G100" s="26" t="s">
        <v>347</v>
      </c>
      <c r="H100" s="28">
        <v>14.434444444444443</v>
      </c>
      <c r="I100" s="26">
        <v>5</v>
      </c>
      <c r="J100" s="29">
        <v>0.05</v>
      </c>
      <c r="K100" s="30">
        <f>(Raw_Data[[#This Row],[Cena jedn. (Price unit)]]-(Raw_Data[[#This Row],[Cena jedn. (Price unit)]]*Raw_Data[[#This Row],[Zniżka (Discount)]]))*Raw_Data[[#This Row],[Ilość (Quant.)]]</f>
        <v>68.563611111111101</v>
      </c>
    </row>
    <row r="101" spans="1:11" x14ac:dyDescent="0.25">
      <c r="A101" s="26" t="s">
        <v>179</v>
      </c>
      <c r="B101" s="27">
        <v>45733</v>
      </c>
      <c r="C101" s="26" t="s">
        <v>365</v>
      </c>
      <c r="D101" s="26" t="s">
        <v>3</v>
      </c>
      <c r="E101" s="26" t="s">
        <v>348</v>
      </c>
      <c r="F101" s="26" t="s">
        <v>17</v>
      </c>
      <c r="G101" s="26" t="s">
        <v>347</v>
      </c>
      <c r="H101" s="28">
        <v>6.5955555555555554</v>
      </c>
      <c r="I101" s="26">
        <v>3</v>
      </c>
      <c r="J101" s="29">
        <v>0</v>
      </c>
      <c r="K101" s="30">
        <f>(Raw_Data[[#This Row],[Cena jedn. (Price unit)]]-(Raw_Data[[#This Row],[Cena jedn. (Price unit)]]*Raw_Data[[#This Row],[Zniżka (Discount)]]))*Raw_Data[[#This Row],[Ilość (Quant.)]]</f>
        <v>19.786666666666665</v>
      </c>
    </row>
    <row r="102" spans="1:11" x14ac:dyDescent="0.25">
      <c r="A102" s="26" t="s">
        <v>180</v>
      </c>
      <c r="B102" s="27">
        <v>45838</v>
      </c>
      <c r="C102" s="26" t="s">
        <v>27</v>
      </c>
      <c r="D102" s="26" t="s">
        <v>10</v>
      </c>
      <c r="E102" s="26" t="s">
        <v>52</v>
      </c>
      <c r="F102" s="26" t="s">
        <v>20</v>
      </c>
      <c r="G102" s="26" t="s">
        <v>51</v>
      </c>
      <c r="H102" s="28">
        <v>25.132857142857137</v>
      </c>
      <c r="I102" s="26">
        <v>3</v>
      </c>
      <c r="J102" s="29">
        <v>0.05</v>
      </c>
      <c r="K102" s="30">
        <f>(Raw_Data[[#This Row],[Cena jedn. (Price unit)]]-(Raw_Data[[#This Row],[Cena jedn. (Price unit)]]*Raw_Data[[#This Row],[Zniżka (Discount)]]))*Raw_Data[[#This Row],[Ilość (Quant.)]]</f>
        <v>71.628642857142836</v>
      </c>
    </row>
    <row r="103" spans="1:11" x14ac:dyDescent="0.25">
      <c r="A103" s="26" t="s">
        <v>181</v>
      </c>
      <c r="B103" s="27">
        <v>45907</v>
      </c>
      <c r="C103" s="26" t="s">
        <v>27</v>
      </c>
      <c r="D103" s="26" t="s">
        <v>33</v>
      </c>
      <c r="E103" s="26" t="s">
        <v>348</v>
      </c>
      <c r="F103" s="26" t="s">
        <v>17</v>
      </c>
      <c r="G103" s="26" t="s">
        <v>347</v>
      </c>
      <c r="H103" s="28">
        <v>25.635714285714283</v>
      </c>
      <c r="I103" s="26">
        <v>5</v>
      </c>
      <c r="J103" s="29">
        <v>0</v>
      </c>
      <c r="K103" s="30">
        <f>(Raw_Data[[#This Row],[Cena jedn. (Price unit)]]-(Raw_Data[[#This Row],[Cena jedn. (Price unit)]]*Raw_Data[[#This Row],[Zniżka (Discount)]]))*Raw_Data[[#This Row],[Ilość (Quant.)]]</f>
        <v>128.17857142857142</v>
      </c>
    </row>
    <row r="104" spans="1:11" x14ac:dyDescent="0.25">
      <c r="A104" s="26" t="s">
        <v>184</v>
      </c>
      <c r="B104" s="27">
        <v>45942</v>
      </c>
      <c r="C104" s="26" t="s">
        <v>361</v>
      </c>
      <c r="D104" s="26" t="s">
        <v>3</v>
      </c>
      <c r="E104" s="26" t="s">
        <v>348</v>
      </c>
      <c r="F104" s="26" t="s">
        <v>17</v>
      </c>
      <c r="G104" s="26" t="s">
        <v>347</v>
      </c>
      <c r="H104" s="28">
        <v>148.85956521739132</v>
      </c>
      <c r="I104" s="26">
        <v>2</v>
      </c>
      <c r="J104" s="29">
        <v>0.05</v>
      </c>
      <c r="K104" s="30">
        <f>(Raw_Data[[#This Row],[Cena jedn. (Price unit)]]-(Raw_Data[[#This Row],[Cena jedn. (Price unit)]]*Raw_Data[[#This Row],[Zniżka (Discount)]]))*Raw_Data[[#This Row],[Ilość (Quant.)]]</f>
        <v>282.83317391304354</v>
      </c>
    </row>
    <row r="105" spans="1:11" hidden="1" x14ac:dyDescent="0.25">
      <c r="A105" s="26" t="s">
        <v>185</v>
      </c>
      <c r="B105" s="27">
        <v>45711</v>
      </c>
      <c r="C105" s="26" t="s">
        <v>1</v>
      </c>
      <c r="D105" s="26" t="s">
        <v>3</v>
      </c>
      <c r="E105" s="26" t="s">
        <v>350</v>
      </c>
      <c r="F105" s="26" t="s">
        <v>296</v>
      </c>
      <c r="G105" s="26" t="s">
        <v>349</v>
      </c>
      <c r="H105" s="28">
        <v>593.77857142857147</v>
      </c>
      <c r="I105" s="26">
        <v>1</v>
      </c>
      <c r="J105" s="29">
        <v>0</v>
      </c>
      <c r="K105" s="30">
        <f>(Raw_Data[[#This Row],[Cena jedn. (Price unit)]]-(Raw_Data[[#This Row],[Cena jedn. (Price unit)]]*Raw_Data[[#This Row],[Zniżka (Discount)]]))*Raw_Data[[#This Row],[Ilość (Quant.)]]</f>
        <v>593.77857142857147</v>
      </c>
    </row>
    <row r="106" spans="1:11" x14ac:dyDescent="0.25">
      <c r="A106" s="26" t="s">
        <v>186</v>
      </c>
      <c r="B106" s="27">
        <v>45914</v>
      </c>
      <c r="C106" s="26" t="s">
        <v>209</v>
      </c>
      <c r="D106" s="26" t="s">
        <v>33</v>
      </c>
      <c r="E106" s="26" t="s">
        <v>350</v>
      </c>
      <c r="F106" s="26" t="s">
        <v>296</v>
      </c>
      <c r="G106" s="26" t="s">
        <v>349</v>
      </c>
      <c r="H106" s="28">
        <v>19.65909090909091</v>
      </c>
      <c r="I106" s="26">
        <v>2</v>
      </c>
      <c r="J106" s="29">
        <v>0.1</v>
      </c>
      <c r="K106" s="30">
        <f>(Raw_Data[[#This Row],[Cena jedn. (Price unit)]]-(Raw_Data[[#This Row],[Cena jedn. (Price unit)]]*Raw_Data[[#This Row],[Zniżka (Discount)]]))*Raw_Data[[#This Row],[Ilość (Quant.)]]</f>
        <v>35.38636363636364</v>
      </c>
    </row>
    <row r="107" spans="1:11" x14ac:dyDescent="0.25">
      <c r="A107" s="26" t="s">
        <v>187</v>
      </c>
      <c r="B107" s="27">
        <v>45901</v>
      </c>
      <c r="C107" s="26" t="s">
        <v>8</v>
      </c>
      <c r="D107" s="26" t="s">
        <v>10</v>
      </c>
      <c r="E107" s="26" t="s">
        <v>350</v>
      </c>
      <c r="F107" s="26" t="s">
        <v>296</v>
      </c>
      <c r="G107" s="26" t="s">
        <v>349</v>
      </c>
      <c r="H107" s="28">
        <v>8.1277777777777782</v>
      </c>
      <c r="I107" s="26">
        <v>2</v>
      </c>
      <c r="J107" s="29">
        <v>0</v>
      </c>
      <c r="K107" s="30">
        <f>(Raw_Data[[#This Row],[Cena jedn. (Price unit)]]-(Raw_Data[[#This Row],[Cena jedn. (Price unit)]]*Raw_Data[[#This Row],[Zniżka (Discount)]]))*Raw_Data[[#This Row],[Ilość (Quant.)]]</f>
        <v>16.255555555555556</v>
      </c>
    </row>
    <row r="108" spans="1:11" x14ac:dyDescent="0.25">
      <c r="A108" s="26" t="s">
        <v>188</v>
      </c>
      <c r="B108" s="27">
        <v>45784</v>
      </c>
      <c r="C108" s="26" t="s">
        <v>359</v>
      </c>
      <c r="D108" s="26" t="s">
        <v>13</v>
      </c>
      <c r="E108" s="26" t="s">
        <v>352</v>
      </c>
      <c r="F108" s="26" t="s">
        <v>4</v>
      </c>
      <c r="G108" s="26" t="s">
        <v>351</v>
      </c>
      <c r="H108" s="28">
        <v>140.88130434782607</v>
      </c>
      <c r="I108" s="26">
        <v>1</v>
      </c>
      <c r="J108" s="29">
        <v>0.1</v>
      </c>
      <c r="K108" s="30">
        <f>(Raw_Data[[#This Row],[Cena jedn. (Price unit)]]-(Raw_Data[[#This Row],[Cena jedn. (Price unit)]]*Raw_Data[[#This Row],[Zniżka (Discount)]]))*Raw_Data[[#This Row],[Ilość (Quant.)]]</f>
        <v>126.79317391304346</v>
      </c>
    </row>
    <row r="109" spans="1:11" x14ac:dyDescent="0.25">
      <c r="A109" s="26" t="s">
        <v>191</v>
      </c>
      <c r="B109" s="27">
        <v>45800</v>
      </c>
      <c r="C109" s="26" t="s">
        <v>366</v>
      </c>
      <c r="D109" s="26" t="s">
        <v>3</v>
      </c>
      <c r="E109" s="26" t="s">
        <v>352</v>
      </c>
      <c r="F109" s="26" t="s">
        <v>4</v>
      </c>
      <c r="G109" s="26" t="s">
        <v>351</v>
      </c>
      <c r="H109" s="28">
        <v>674.25428571428574</v>
      </c>
      <c r="I109" s="26">
        <v>2</v>
      </c>
      <c r="J109" s="29">
        <v>0</v>
      </c>
      <c r="K109" s="30">
        <f>(Raw_Data[[#This Row],[Cena jedn. (Price unit)]]-(Raw_Data[[#This Row],[Cena jedn. (Price unit)]]*Raw_Data[[#This Row],[Zniżka (Discount)]]))*Raw_Data[[#This Row],[Ilość (Quant.)]]</f>
        <v>1348.5085714285715</v>
      </c>
    </row>
    <row r="110" spans="1:11" x14ac:dyDescent="0.25">
      <c r="A110" s="26" t="s">
        <v>192</v>
      </c>
      <c r="B110" s="27">
        <v>45664</v>
      </c>
      <c r="C110" s="26" t="s">
        <v>367</v>
      </c>
      <c r="D110" s="26" t="s">
        <v>10</v>
      </c>
      <c r="E110" s="26" t="s">
        <v>354</v>
      </c>
      <c r="F110" s="26" t="s">
        <v>17</v>
      </c>
      <c r="G110" s="26" t="s">
        <v>353</v>
      </c>
      <c r="H110" s="28">
        <v>521.50428571428574</v>
      </c>
      <c r="I110" s="26">
        <v>2</v>
      </c>
      <c r="J110" s="29">
        <v>0.1</v>
      </c>
      <c r="K110" s="30">
        <f>(Raw_Data[[#This Row],[Cena jedn. (Price unit)]]-(Raw_Data[[#This Row],[Cena jedn. (Price unit)]]*Raw_Data[[#This Row],[Zniżka (Discount)]]))*Raw_Data[[#This Row],[Ilość (Quant.)]]</f>
        <v>938.70771428571436</v>
      </c>
    </row>
    <row r="111" spans="1:11" x14ac:dyDescent="0.25">
      <c r="A111" s="26" t="s">
        <v>193</v>
      </c>
      <c r="B111" s="27">
        <v>45673</v>
      </c>
      <c r="C111" s="26" t="s">
        <v>368</v>
      </c>
      <c r="D111" s="26" t="s">
        <v>33</v>
      </c>
      <c r="E111" s="26" t="s">
        <v>354</v>
      </c>
      <c r="F111" s="26" t="s">
        <v>17</v>
      </c>
      <c r="G111" s="26" t="s">
        <v>353</v>
      </c>
      <c r="H111" s="28">
        <v>54.99</v>
      </c>
      <c r="I111" s="26">
        <v>5</v>
      </c>
      <c r="J111" s="29">
        <v>0.05</v>
      </c>
      <c r="K111" s="30">
        <f>(Raw_Data[[#This Row],[Cena jedn. (Price unit)]]-(Raw_Data[[#This Row],[Cena jedn. (Price unit)]]*Raw_Data[[#This Row],[Zniżka (Discount)]]))*Raw_Data[[#This Row],[Ilość (Quant.)]]</f>
        <v>261.20250000000004</v>
      </c>
    </row>
    <row r="112" spans="1:11" x14ac:dyDescent="0.25">
      <c r="A112" s="26" t="s">
        <v>194</v>
      </c>
      <c r="B112" s="27">
        <v>45791</v>
      </c>
      <c r="C112" s="26" t="s">
        <v>40</v>
      </c>
      <c r="D112" s="26" t="s">
        <v>3</v>
      </c>
      <c r="E112" s="26" t="s">
        <v>354</v>
      </c>
      <c r="F112" s="26" t="s">
        <v>17</v>
      </c>
      <c r="G112" s="26" t="s">
        <v>353</v>
      </c>
      <c r="H112" s="28">
        <v>40.426363636363639</v>
      </c>
      <c r="I112" s="26">
        <v>4</v>
      </c>
      <c r="J112" s="29">
        <v>0.05</v>
      </c>
      <c r="K112" s="30">
        <f>(Raw_Data[[#This Row],[Cena jedn. (Price unit)]]-(Raw_Data[[#This Row],[Cena jedn. (Price unit)]]*Raw_Data[[#This Row],[Zniżka (Discount)]]))*Raw_Data[[#This Row],[Ilość (Quant.)]]</f>
        <v>153.62018181818183</v>
      </c>
    </row>
    <row r="113" spans="1:11" x14ac:dyDescent="0.25">
      <c r="A113" s="26" t="s">
        <v>196</v>
      </c>
      <c r="B113" s="27">
        <v>45936</v>
      </c>
      <c r="C113" s="26" t="s">
        <v>8</v>
      </c>
      <c r="D113" s="26" t="s">
        <v>10</v>
      </c>
      <c r="E113" s="26" t="s">
        <v>5</v>
      </c>
      <c r="F113" s="26" t="s">
        <v>4</v>
      </c>
      <c r="G113" s="26" t="s">
        <v>15</v>
      </c>
      <c r="H113" s="28">
        <v>10.27888888888889</v>
      </c>
      <c r="I113" s="26">
        <v>2</v>
      </c>
      <c r="J113" s="29">
        <v>0.15</v>
      </c>
      <c r="K113" s="30">
        <f>(Raw_Data[[#This Row],[Cena jedn. (Price unit)]]-(Raw_Data[[#This Row],[Cena jedn. (Price unit)]]*Raw_Data[[#This Row],[Zniżka (Discount)]]))*Raw_Data[[#This Row],[Ilość (Quant.)]]</f>
        <v>17.474111111111114</v>
      </c>
    </row>
    <row r="114" spans="1:11" x14ac:dyDescent="0.25">
      <c r="A114" s="26" t="s">
        <v>197</v>
      </c>
      <c r="B114" s="27">
        <v>45719</v>
      </c>
      <c r="C114" s="26" t="s">
        <v>362</v>
      </c>
      <c r="D114" s="26" t="s">
        <v>33</v>
      </c>
      <c r="E114" s="26" t="s">
        <v>52</v>
      </c>
      <c r="F114" s="26" t="s">
        <v>20</v>
      </c>
      <c r="G114" s="26" t="s">
        <v>51</v>
      </c>
      <c r="H114" s="28">
        <v>82.54</v>
      </c>
      <c r="I114" s="26">
        <v>4</v>
      </c>
      <c r="J114" s="29">
        <v>0.15</v>
      </c>
      <c r="K114" s="30">
        <f>(Raw_Data[[#This Row],[Cena jedn. (Price unit)]]-(Raw_Data[[#This Row],[Cena jedn. (Price unit)]]*Raw_Data[[#This Row],[Zniżka (Discount)]]))*Raw_Data[[#This Row],[Ilość (Quant.)]]</f>
        <v>280.63600000000002</v>
      </c>
    </row>
    <row r="115" spans="1:11" hidden="1" x14ac:dyDescent="0.25">
      <c r="A115" s="26" t="s">
        <v>198</v>
      </c>
      <c r="B115" s="27">
        <v>45705</v>
      </c>
      <c r="C115" s="26" t="s">
        <v>27</v>
      </c>
      <c r="D115" s="26" t="s">
        <v>3</v>
      </c>
      <c r="E115" s="26" t="s">
        <v>354</v>
      </c>
      <c r="F115" s="26" t="s">
        <v>17</v>
      </c>
      <c r="G115" s="26" t="s">
        <v>353</v>
      </c>
      <c r="H115" s="28">
        <v>30.147142857142857</v>
      </c>
      <c r="I115" s="26">
        <v>4</v>
      </c>
      <c r="J115" s="29">
        <v>0.15</v>
      </c>
      <c r="K115" s="30">
        <f>(Raw_Data[[#This Row],[Cena jedn. (Price unit)]]-(Raw_Data[[#This Row],[Cena jedn. (Price unit)]]*Raw_Data[[#This Row],[Zniżka (Discount)]]))*Raw_Data[[#This Row],[Ilość (Quant.)]]</f>
        <v>102.50028571428571</v>
      </c>
    </row>
    <row r="116" spans="1:11" x14ac:dyDescent="0.25">
      <c r="A116" s="26" t="s">
        <v>201</v>
      </c>
      <c r="B116" s="27">
        <v>45818</v>
      </c>
      <c r="C116" s="26" t="s">
        <v>363</v>
      </c>
      <c r="D116" s="26" t="s">
        <v>13</v>
      </c>
      <c r="E116" s="26" t="s">
        <v>56</v>
      </c>
      <c r="F116" s="26" t="s">
        <v>4</v>
      </c>
      <c r="G116" s="26" t="s">
        <v>55</v>
      </c>
      <c r="H116" s="28">
        <v>121.42888888888888</v>
      </c>
      <c r="I116" s="26">
        <v>2</v>
      </c>
      <c r="J116" s="29">
        <v>0</v>
      </c>
      <c r="K116" s="30">
        <f>(Raw_Data[[#This Row],[Cena jedn. (Price unit)]]-(Raw_Data[[#This Row],[Cena jedn. (Price unit)]]*Raw_Data[[#This Row],[Zniżka (Discount)]]))*Raw_Data[[#This Row],[Ilość (Quant.)]]</f>
        <v>242.85777777777776</v>
      </c>
    </row>
    <row r="117" spans="1:11" x14ac:dyDescent="0.25">
      <c r="A117" s="26" t="s">
        <v>202</v>
      </c>
      <c r="B117" s="27">
        <v>45893</v>
      </c>
      <c r="C117" s="26" t="s">
        <v>363</v>
      </c>
      <c r="D117" s="26" t="s">
        <v>13</v>
      </c>
      <c r="E117" s="26" t="s">
        <v>56</v>
      </c>
      <c r="F117" s="26" t="s">
        <v>4</v>
      </c>
      <c r="G117" s="26" t="s">
        <v>55</v>
      </c>
      <c r="H117" s="28">
        <v>94.572222222222223</v>
      </c>
      <c r="I117" s="26">
        <v>4</v>
      </c>
      <c r="J117" s="29">
        <v>0.3</v>
      </c>
      <c r="K117" s="30">
        <f>(Raw_Data[[#This Row],[Cena jedn. (Price unit)]]-(Raw_Data[[#This Row],[Cena jedn. (Price unit)]]*Raw_Data[[#This Row],[Zniżka (Discount)]]))*Raw_Data[[#This Row],[Ilość (Quant.)]]</f>
        <v>264.80222222222221</v>
      </c>
    </row>
    <row r="118" spans="1:11" hidden="1" x14ac:dyDescent="0.25">
      <c r="A118" s="26" t="s">
        <v>203</v>
      </c>
      <c r="B118" s="27">
        <v>45981</v>
      </c>
      <c r="C118" s="26" t="s">
        <v>361</v>
      </c>
      <c r="D118" s="26" t="s">
        <v>3</v>
      </c>
      <c r="E118" s="26" t="s">
        <v>60</v>
      </c>
      <c r="F118" s="26" t="s">
        <v>20</v>
      </c>
      <c r="G118" s="26" t="s">
        <v>59</v>
      </c>
      <c r="H118" s="28">
        <v>193.93695652173915</v>
      </c>
      <c r="I118" s="26">
        <v>1</v>
      </c>
      <c r="J118" s="29">
        <v>0.05</v>
      </c>
      <c r="K118" s="30">
        <f>(Raw_Data[[#This Row],[Cena jedn. (Price unit)]]-(Raw_Data[[#This Row],[Cena jedn. (Price unit)]]*Raw_Data[[#This Row],[Zniżka (Discount)]]))*Raw_Data[[#This Row],[Ilość (Quant.)]]</f>
        <v>184.2401086956522</v>
      </c>
    </row>
    <row r="119" spans="1:11" x14ac:dyDescent="0.25">
      <c r="A119" s="26" t="s">
        <v>204</v>
      </c>
      <c r="B119" s="27">
        <v>45915</v>
      </c>
      <c r="C119" s="26" t="s">
        <v>359</v>
      </c>
      <c r="D119" s="26" t="s">
        <v>3</v>
      </c>
      <c r="E119" s="26" t="s">
        <v>60</v>
      </c>
      <c r="F119" s="26" t="s">
        <v>20</v>
      </c>
      <c r="G119" s="26" t="s">
        <v>59</v>
      </c>
      <c r="H119" s="28">
        <v>123.50217391304348</v>
      </c>
      <c r="I119" s="26">
        <v>5</v>
      </c>
      <c r="J119" s="29">
        <v>0</v>
      </c>
      <c r="K119" s="30">
        <f>(Raw_Data[[#This Row],[Cena jedn. (Price unit)]]-(Raw_Data[[#This Row],[Cena jedn. (Price unit)]]*Raw_Data[[#This Row],[Zniżka (Discount)]]))*Raw_Data[[#This Row],[Ilość (Quant.)]]</f>
        <v>617.51086956521738</v>
      </c>
    </row>
    <row r="120" spans="1:11" x14ac:dyDescent="0.25">
      <c r="A120" s="26" t="s">
        <v>205</v>
      </c>
      <c r="B120" s="27">
        <v>45839</v>
      </c>
      <c r="C120" s="26" t="s">
        <v>364</v>
      </c>
      <c r="D120" s="26" t="s">
        <v>3</v>
      </c>
      <c r="E120" s="26" t="s">
        <v>60</v>
      </c>
      <c r="F120" s="26" t="s">
        <v>20</v>
      </c>
      <c r="G120" s="26" t="s">
        <v>59</v>
      </c>
      <c r="H120" s="28">
        <v>15.456666666666667</v>
      </c>
      <c r="I120" s="26">
        <v>4</v>
      </c>
      <c r="J120" s="29">
        <v>0.1</v>
      </c>
      <c r="K120" s="30">
        <f>(Raw_Data[[#This Row],[Cena jedn. (Price unit)]]-(Raw_Data[[#This Row],[Cena jedn. (Price unit)]]*Raw_Data[[#This Row],[Zniżka (Discount)]]))*Raw_Data[[#This Row],[Ilość (Quant.)]]</f>
        <v>55.643999999999998</v>
      </c>
    </row>
    <row r="121" spans="1:11" x14ac:dyDescent="0.25">
      <c r="A121" s="26" t="s">
        <v>208</v>
      </c>
      <c r="B121" s="27">
        <v>45846</v>
      </c>
      <c r="C121" s="26" t="s">
        <v>365</v>
      </c>
      <c r="D121" s="26" t="s">
        <v>13</v>
      </c>
      <c r="E121" s="26" t="s">
        <v>60</v>
      </c>
      <c r="F121" s="26" t="s">
        <v>20</v>
      </c>
      <c r="G121" s="26" t="s">
        <v>59</v>
      </c>
      <c r="H121" s="28">
        <v>6.8788888888888886</v>
      </c>
      <c r="I121" s="26">
        <v>4</v>
      </c>
      <c r="J121" s="29">
        <v>0.05</v>
      </c>
      <c r="K121" s="30">
        <f>(Raw_Data[[#This Row],[Cena jedn. (Price unit)]]-(Raw_Data[[#This Row],[Cena jedn. (Price unit)]]*Raw_Data[[#This Row],[Zniżka (Discount)]]))*Raw_Data[[#This Row],[Ilość (Quant.)]]</f>
        <v>26.139777777777777</v>
      </c>
    </row>
    <row r="122" spans="1:11" x14ac:dyDescent="0.25">
      <c r="A122" s="26" t="s">
        <v>210</v>
      </c>
      <c r="B122" s="27">
        <v>45685</v>
      </c>
      <c r="C122" s="26" t="s">
        <v>364</v>
      </c>
      <c r="D122" s="26" t="s">
        <v>13</v>
      </c>
      <c r="E122" s="26" t="s">
        <v>60</v>
      </c>
      <c r="F122" s="26" t="s">
        <v>20</v>
      </c>
      <c r="G122" s="26" t="s">
        <v>59</v>
      </c>
      <c r="H122" s="28">
        <v>15.428888888888888</v>
      </c>
      <c r="I122" s="26">
        <v>5</v>
      </c>
      <c r="J122" s="29">
        <v>0.15</v>
      </c>
      <c r="K122" s="30">
        <f>(Raw_Data[[#This Row],[Cena jedn. (Price unit)]]-(Raw_Data[[#This Row],[Cena jedn. (Price unit)]]*Raw_Data[[#This Row],[Zniżka (Discount)]]))*Raw_Data[[#This Row],[Ilość (Quant.)]]</f>
        <v>65.572777777777773</v>
      </c>
    </row>
    <row r="123" spans="1:11" hidden="1" x14ac:dyDescent="0.25">
      <c r="A123" s="26" t="s">
        <v>211</v>
      </c>
      <c r="B123" s="27">
        <v>45977</v>
      </c>
      <c r="C123" s="26" t="s">
        <v>22</v>
      </c>
      <c r="D123" s="26" t="s">
        <v>10</v>
      </c>
      <c r="E123" s="26" t="s">
        <v>60</v>
      </c>
      <c r="F123" s="26" t="s">
        <v>20</v>
      </c>
      <c r="G123" s="26" t="s">
        <v>59</v>
      </c>
      <c r="H123" s="28">
        <v>117.0617391304348</v>
      </c>
      <c r="I123" s="26">
        <v>4</v>
      </c>
      <c r="J123" s="29">
        <v>0</v>
      </c>
      <c r="K123" s="30">
        <f>(Raw_Data[[#This Row],[Cena jedn. (Price unit)]]-(Raw_Data[[#This Row],[Cena jedn. (Price unit)]]*Raw_Data[[#This Row],[Zniżka (Discount)]]))*Raw_Data[[#This Row],[Ilość (Quant.)]]</f>
        <v>468.24695652173921</v>
      </c>
    </row>
    <row r="124" spans="1:11" x14ac:dyDescent="0.25">
      <c r="A124" s="26" t="s">
        <v>212</v>
      </c>
      <c r="B124" s="27">
        <v>45732</v>
      </c>
      <c r="C124" s="26" t="s">
        <v>360</v>
      </c>
      <c r="D124" s="26" t="s">
        <v>3</v>
      </c>
      <c r="E124" s="26" t="s">
        <v>70</v>
      </c>
      <c r="F124" s="26" t="s">
        <v>20</v>
      </c>
      <c r="G124" s="26" t="s">
        <v>69</v>
      </c>
      <c r="H124" s="28">
        <v>84.235652173913053</v>
      </c>
      <c r="I124" s="26">
        <v>5</v>
      </c>
      <c r="J124" s="29">
        <v>0</v>
      </c>
      <c r="K124" s="30">
        <f>(Raw_Data[[#This Row],[Cena jedn. (Price unit)]]-(Raw_Data[[#This Row],[Cena jedn. (Price unit)]]*Raw_Data[[#This Row],[Zniżka (Discount)]]))*Raw_Data[[#This Row],[Ilość (Quant.)]]</f>
        <v>421.17826086956529</v>
      </c>
    </row>
    <row r="125" spans="1:11" x14ac:dyDescent="0.25">
      <c r="A125" s="26" t="s">
        <v>213</v>
      </c>
      <c r="B125" s="27">
        <v>45671</v>
      </c>
      <c r="C125" s="26" t="s">
        <v>64</v>
      </c>
      <c r="D125" s="26" t="s">
        <v>3</v>
      </c>
      <c r="E125" s="26" t="s">
        <v>5</v>
      </c>
      <c r="F125" s="26" t="s">
        <v>4</v>
      </c>
      <c r="G125" s="26" t="s">
        <v>15</v>
      </c>
      <c r="H125" s="28">
        <v>59.378888888888895</v>
      </c>
      <c r="I125" s="26">
        <v>5</v>
      </c>
      <c r="J125" s="29">
        <v>0.1</v>
      </c>
      <c r="K125" s="30">
        <f>(Raw_Data[[#This Row],[Cena jedn. (Price unit)]]-(Raw_Data[[#This Row],[Cena jedn. (Price unit)]]*Raw_Data[[#This Row],[Zniżka (Discount)]]))*Raw_Data[[#This Row],[Ilość (Quant.)]]</f>
        <v>267.20500000000004</v>
      </c>
    </row>
    <row r="126" spans="1:11" x14ac:dyDescent="0.25">
      <c r="A126" s="26" t="s">
        <v>214</v>
      </c>
      <c r="B126" s="27">
        <v>45886</v>
      </c>
      <c r="C126" s="26" t="s">
        <v>1</v>
      </c>
      <c r="D126" s="26" t="s">
        <v>33</v>
      </c>
      <c r="E126" s="26" t="s">
        <v>70</v>
      </c>
      <c r="F126" s="26" t="s">
        <v>20</v>
      </c>
      <c r="G126" s="26" t="s">
        <v>69</v>
      </c>
      <c r="H126" s="28">
        <v>505.8471428571429</v>
      </c>
      <c r="I126" s="26">
        <v>1</v>
      </c>
      <c r="J126" s="29">
        <v>0.2</v>
      </c>
      <c r="K126" s="30">
        <f>(Raw_Data[[#This Row],[Cena jedn. (Price unit)]]-(Raw_Data[[#This Row],[Cena jedn. (Price unit)]]*Raw_Data[[#This Row],[Zniżka (Discount)]]))*Raw_Data[[#This Row],[Ilość (Quant.)]]</f>
        <v>404.67771428571433</v>
      </c>
    </row>
    <row r="127" spans="1:11" hidden="1" x14ac:dyDescent="0.25">
      <c r="A127" s="26" t="s">
        <v>215</v>
      </c>
      <c r="B127" s="27">
        <v>45706</v>
      </c>
      <c r="C127" s="26" t="s">
        <v>8</v>
      </c>
      <c r="D127" s="26" t="s">
        <v>3</v>
      </c>
      <c r="E127" s="26" t="s">
        <v>70</v>
      </c>
      <c r="F127" s="26" t="s">
        <v>20</v>
      </c>
      <c r="G127" s="26" t="s">
        <v>69</v>
      </c>
      <c r="H127" s="28">
        <v>11.301111111111112</v>
      </c>
      <c r="I127" s="26">
        <v>3</v>
      </c>
      <c r="J127" s="29">
        <v>0.1</v>
      </c>
      <c r="K127" s="30">
        <f>(Raw_Data[[#This Row],[Cena jedn. (Price unit)]]-(Raw_Data[[#This Row],[Cena jedn. (Price unit)]]*Raw_Data[[#This Row],[Zniżka (Discount)]]))*Raw_Data[[#This Row],[Ilość (Quant.)]]</f>
        <v>30.513000000000005</v>
      </c>
    </row>
    <row r="128" spans="1:11" x14ac:dyDescent="0.25">
      <c r="A128" s="26" t="s">
        <v>216</v>
      </c>
      <c r="B128" s="27">
        <v>45687</v>
      </c>
      <c r="C128" s="26" t="s">
        <v>365</v>
      </c>
      <c r="D128" s="26" t="s">
        <v>3</v>
      </c>
      <c r="E128" s="26" t="s">
        <v>70</v>
      </c>
      <c r="F128" s="26" t="s">
        <v>20</v>
      </c>
      <c r="G128" s="26" t="s">
        <v>69</v>
      </c>
      <c r="H128" s="28">
        <v>8.1011111111111109</v>
      </c>
      <c r="I128" s="26">
        <v>5</v>
      </c>
      <c r="J128" s="29">
        <v>0.1</v>
      </c>
      <c r="K128" s="30">
        <f>(Raw_Data[[#This Row],[Cena jedn. (Price unit)]]-(Raw_Data[[#This Row],[Cena jedn. (Price unit)]]*Raw_Data[[#This Row],[Zniżka (Discount)]]))*Raw_Data[[#This Row],[Ilość (Quant.)]]</f>
        <v>36.454999999999998</v>
      </c>
    </row>
    <row r="129" spans="1:11" hidden="1" x14ac:dyDescent="0.25">
      <c r="A129" s="26" t="s">
        <v>217</v>
      </c>
      <c r="B129" s="27">
        <v>46017</v>
      </c>
      <c r="C129" s="26" t="s">
        <v>366</v>
      </c>
      <c r="D129" s="26" t="s">
        <v>33</v>
      </c>
      <c r="E129" s="26" t="s">
        <v>70</v>
      </c>
      <c r="F129" s="26" t="s">
        <v>20</v>
      </c>
      <c r="G129" s="26" t="s">
        <v>69</v>
      </c>
      <c r="H129" s="28">
        <v>591.96857142857141</v>
      </c>
      <c r="I129" s="26">
        <v>3</v>
      </c>
      <c r="J129" s="29">
        <v>0</v>
      </c>
      <c r="K129" s="30">
        <f>(Raw_Data[[#This Row],[Cena jedn. (Price unit)]]-(Raw_Data[[#This Row],[Cena jedn. (Price unit)]]*Raw_Data[[#This Row],[Zniżka (Discount)]]))*Raw_Data[[#This Row],[Ilość (Quant.)]]</f>
        <v>1775.9057142857141</v>
      </c>
    </row>
    <row r="130" spans="1:11" hidden="1" x14ac:dyDescent="0.25">
      <c r="A130" s="26" t="s">
        <v>218</v>
      </c>
      <c r="B130" s="27">
        <v>45711</v>
      </c>
      <c r="C130" s="26" t="s">
        <v>367</v>
      </c>
      <c r="D130" s="26" t="s">
        <v>13</v>
      </c>
      <c r="E130" s="26" t="s">
        <v>77</v>
      </c>
      <c r="F130" s="26" t="s">
        <v>14</v>
      </c>
      <c r="G130" s="26" t="s">
        <v>76</v>
      </c>
      <c r="H130" s="28">
        <v>393.77857142857147</v>
      </c>
      <c r="I130" s="26">
        <v>2</v>
      </c>
      <c r="J130" s="29">
        <v>0</v>
      </c>
      <c r="K130" s="30">
        <f>(Raw_Data[[#This Row],[Cena jedn. (Price unit)]]-(Raw_Data[[#This Row],[Cena jedn. (Price unit)]]*Raw_Data[[#This Row],[Zniżka (Discount)]]))*Raw_Data[[#This Row],[Ilość (Quant.)]]</f>
        <v>787.55714285714294</v>
      </c>
    </row>
    <row r="131" spans="1:11" x14ac:dyDescent="0.25">
      <c r="A131" s="26" t="s">
        <v>219</v>
      </c>
      <c r="B131" s="27">
        <v>45940</v>
      </c>
      <c r="C131" s="26" t="s">
        <v>358</v>
      </c>
      <c r="D131" s="26" t="s">
        <v>10</v>
      </c>
      <c r="E131" s="26" t="s">
        <v>77</v>
      </c>
      <c r="F131" s="26" t="s">
        <v>14</v>
      </c>
      <c r="G131" s="26" t="s">
        <v>76</v>
      </c>
      <c r="H131" s="28">
        <v>31.358181818181816</v>
      </c>
      <c r="I131" s="26">
        <v>1</v>
      </c>
      <c r="J131" s="29">
        <v>0.15</v>
      </c>
      <c r="K131" s="30">
        <f>(Raw_Data[[#This Row],[Cena jedn. (Price unit)]]-(Raw_Data[[#This Row],[Cena jedn. (Price unit)]]*Raw_Data[[#This Row],[Zniżka (Discount)]]))*Raw_Data[[#This Row],[Ilość (Quant.)]]</f>
        <v>26.654454545454541</v>
      </c>
    </row>
    <row r="132" spans="1:11" x14ac:dyDescent="0.25">
      <c r="A132" s="26" t="s">
        <v>220</v>
      </c>
      <c r="B132" s="27">
        <v>45755</v>
      </c>
      <c r="C132" s="26" t="s">
        <v>368</v>
      </c>
      <c r="D132" s="26" t="s">
        <v>10</v>
      </c>
      <c r="E132" s="26" t="s">
        <v>77</v>
      </c>
      <c r="F132" s="26" t="s">
        <v>14</v>
      </c>
      <c r="G132" s="26" t="s">
        <v>76</v>
      </c>
      <c r="H132" s="28">
        <v>46.140000000000008</v>
      </c>
      <c r="I132" s="26">
        <v>1</v>
      </c>
      <c r="J132" s="29">
        <v>0</v>
      </c>
      <c r="K132" s="30">
        <f>(Raw_Data[[#This Row],[Cena jedn. (Price unit)]]-(Raw_Data[[#This Row],[Cena jedn. (Price unit)]]*Raw_Data[[#This Row],[Zniżka (Discount)]]))*Raw_Data[[#This Row],[Ilość (Quant.)]]</f>
        <v>46.140000000000008</v>
      </c>
    </row>
    <row r="133" spans="1:11" hidden="1" x14ac:dyDescent="0.25">
      <c r="A133" s="26" t="s">
        <v>221</v>
      </c>
      <c r="B133" s="27">
        <v>46014</v>
      </c>
      <c r="C133" s="26" t="s">
        <v>367</v>
      </c>
      <c r="D133" s="26" t="s">
        <v>10</v>
      </c>
      <c r="E133" s="26" t="s">
        <v>82</v>
      </c>
      <c r="F133" s="26" t="s">
        <v>4</v>
      </c>
      <c r="G133" s="26" t="s">
        <v>81</v>
      </c>
      <c r="H133" s="28">
        <v>525.11142857142852</v>
      </c>
      <c r="I133" s="26">
        <v>1</v>
      </c>
      <c r="J133" s="29">
        <v>0</v>
      </c>
      <c r="K133" s="30">
        <f>(Raw_Data[[#This Row],[Cena jedn. (Price unit)]]-(Raw_Data[[#This Row],[Cena jedn. (Price unit)]]*Raw_Data[[#This Row],[Zniżka (Discount)]]))*Raw_Data[[#This Row],[Ilość (Quant.)]]</f>
        <v>525.11142857142852</v>
      </c>
    </row>
    <row r="134" spans="1:11" x14ac:dyDescent="0.25">
      <c r="A134" s="26" t="s">
        <v>222</v>
      </c>
      <c r="B134" s="27">
        <v>45797</v>
      </c>
      <c r="C134" s="26" t="s">
        <v>361</v>
      </c>
      <c r="D134" s="26" t="s">
        <v>10</v>
      </c>
      <c r="E134" s="26" t="s">
        <v>82</v>
      </c>
      <c r="F134" s="26" t="s">
        <v>4</v>
      </c>
      <c r="G134" s="26" t="s">
        <v>81</v>
      </c>
      <c r="H134" s="28">
        <v>160.66391304347826</v>
      </c>
      <c r="I134" s="26">
        <v>5</v>
      </c>
      <c r="J134" s="29">
        <v>0</v>
      </c>
      <c r="K134" s="30">
        <f>(Raw_Data[[#This Row],[Cena jedn. (Price unit)]]-(Raw_Data[[#This Row],[Cena jedn. (Price unit)]]*Raw_Data[[#This Row],[Zniżka (Discount)]]))*Raw_Data[[#This Row],[Ilość (Quant.)]]</f>
        <v>803.3195652173913</v>
      </c>
    </row>
    <row r="135" spans="1:11" x14ac:dyDescent="0.25">
      <c r="A135" s="26" t="s">
        <v>223</v>
      </c>
      <c r="B135" s="27">
        <v>45909</v>
      </c>
      <c r="C135" s="26" t="s">
        <v>368</v>
      </c>
      <c r="D135" s="26" t="s">
        <v>33</v>
      </c>
      <c r="E135" s="26" t="s">
        <v>82</v>
      </c>
      <c r="F135" s="26" t="s">
        <v>4</v>
      </c>
      <c r="G135" s="26" t="s">
        <v>81</v>
      </c>
      <c r="H135" s="28">
        <v>52.59</v>
      </c>
      <c r="I135" s="26">
        <v>3</v>
      </c>
      <c r="J135" s="29">
        <v>0</v>
      </c>
      <c r="K135" s="30">
        <f>(Raw_Data[[#This Row],[Cena jedn. (Price unit)]]-(Raw_Data[[#This Row],[Cena jedn. (Price unit)]]*Raw_Data[[#This Row],[Zniżka (Discount)]]))*Raw_Data[[#This Row],[Ilość (Quant.)]]</f>
        <v>157.77000000000001</v>
      </c>
    </row>
    <row r="136" spans="1:11" hidden="1" x14ac:dyDescent="0.25">
      <c r="A136" s="26" t="s">
        <v>224</v>
      </c>
      <c r="B136" s="27">
        <v>45716</v>
      </c>
      <c r="C136" s="26" t="s">
        <v>367</v>
      </c>
      <c r="D136" s="26" t="s">
        <v>13</v>
      </c>
      <c r="E136" s="26" t="s">
        <v>5</v>
      </c>
      <c r="F136" s="26" t="s">
        <v>4</v>
      </c>
      <c r="G136" s="26" t="s">
        <v>15</v>
      </c>
      <c r="H136" s="28">
        <v>528.91857142857145</v>
      </c>
      <c r="I136" s="26">
        <v>4</v>
      </c>
      <c r="J136" s="29">
        <v>0.15</v>
      </c>
      <c r="K136" s="30">
        <f>(Raw_Data[[#This Row],[Cena jedn. (Price unit)]]-(Raw_Data[[#This Row],[Cena jedn. (Price unit)]]*Raw_Data[[#This Row],[Zniżka (Discount)]]))*Raw_Data[[#This Row],[Ilość (Quant.)]]</f>
        <v>1798.323142857143</v>
      </c>
    </row>
    <row r="137" spans="1:11" x14ac:dyDescent="0.25">
      <c r="A137" s="26" t="s">
        <v>225</v>
      </c>
      <c r="B137" s="27">
        <v>45905</v>
      </c>
      <c r="C137" s="26" t="s">
        <v>27</v>
      </c>
      <c r="D137" s="26" t="s">
        <v>10</v>
      </c>
      <c r="E137" s="26" t="s">
        <v>87</v>
      </c>
      <c r="F137" s="26" t="s">
        <v>20</v>
      </c>
      <c r="G137" s="26" t="s">
        <v>86</v>
      </c>
      <c r="H137" s="28">
        <v>25.20428571428571</v>
      </c>
      <c r="I137" s="26">
        <v>2</v>
      </c>
      <c r="J137" s="29">
        <v>0</v>
      </c>
      <c r="K137" s="30">
        <f>(Raw_Data[[#This Row],[Cena jedn. (Price unit)]]-(Raw_Data[[#This Row],[Cena jedn. (Price unit)]]*Raw_Data[[#This Row],[Zniżka (Discount)]]))*Raw_Data[[#This Row],[Ilość (Quant.)]]</f>
        <v>50.40857142857142</v>
      </c>
    </row>
    <row r="138" spans="1:11" x14ac:dyDescent="0.25">
      <c r="A138" s="26" t="s">
        <v>226</v>
      </c>
      <c r="B138" s="27">
        <v>45758</v>
      </c>
      <c r="C138" s="26" t="s">
        <v>64</v>
      </c>
      <c r="D138" s="26" t="s">
        <v>3</v>
      </c>
      <c r="E138" s="26" t="s">
        <v>87</v>
      </c>
      <c r="F138" s="26" t="s">
        <v>20</v>
      </c>
      <c r="G138" s="26" t="s">
        <v>86</v>
      </c>
      <c r="H138" s="28">
        <v>72.156666666666666</v>
      </c>
      <c r="I138" s="26">
        <v>3</v>
      </c>
      <c r="J138" s="29">
        <v>0.05</v>
      </c>
      <c r="K138" s="30">
        <f>(Raw_Data[[#This Row],[Cena jedn. (Price unit)]]-(Raw_Data[[#This Row],[Cena jedn. (Price unit)]]*Raw_Data[[#This Row],[Zniżka (Discount)]]))*Raw_Data[[#This Row],[Ilość (Quant.)]]</f>
        <v>205.6465</v>
      </c>
    </row>
    <row r="139" spans="1:11" x14ac:dyDescent="0.25">
      <c r="A139" s="26" t="s">
        <v>227</v>
      </c>
      <c r="B139" s="27">
        <v>45855</v>
      </c>
      <c r="C139" s="26" t="s">
        <v>1</v>
      </c>
      <c r="D139" s="26" t="s">
        <v>3</v>
      </c>
      <c r="E139" s="26" t="s">
        <v>91</v>
      </c>
      <c r="F139" s="26" t="s">
        <v>20</v>
      </c>
      <c r="G139" s="26" t="s">
        <v>90</v>
      </c>
      <c r="H139" s="28">
        <v>567.20714285714291</v>
      </c>
      <c r="I139" s="26">
        <v>5</v>
      </c>
      <c r="J139" s="29">
        <v>0.1</v>
      </c>
      <c r="K139" s="30">
        <f>(Raw_Data[[#This Row],[Cena jedn. (Price unit)]]-(Raw_Data[[#This Row],[Cena jedn. (Price unit)]]*Raw_Data[[#This Row],[Zniżka (Discount)]]))*Raw_Data[[#This Row],[Ilość (Quant.)]]</f>
        <v>2552.4321428571429</v>
      </c>
    </row>
    <row r="140" spans="1:11" hidden="1" x14ac:dyDescent="0.25">
      <c r="A140" s="26" t="s">
        <v>228</v>
      </c>
      <c r="B140" s="27">
        <v>46005</v>
      </c>
      <c r="C140" s="26" t="s">
        <v>209</v>
      </c>
      <c r="D140" s="26" t="s">
        <v>13</v>
      </c>
      <c r="E140" s="26" t="s">
        <v>91</v>
      </c>
      <c r="F140" s="26" t="s">
        <v>20</v>
      </c>
      <c r="G140" s="26" t="s">
        <v>90</v>
      </c>
      <c r="H140" s="28">
        <v>23.535454545454545</v>
      </c>
      <c r="I140" s="26">
        <v>3</v>
      </c>
      <c r="J140" s="29">
        <v>0.05</v>
      </c>
      <c r="K140" s="30">
        <f>(Raw_Data[[#This Row],[Cena jedn. (Price unit)]]-(Raw_Data[[#This Row],[Cena jedn. (Price unit)]]*Raw_Data[[#This Row],[Zniżka (Discount)]]))*Raw_Data[[#This Row],[Ilość (Quant.)]]</f>
        <v>67.076045454545451</v>
      </c>
    </row>
    <row r="141" spans="1:11" x14ac:dyDescent="0.25">
      <c r="A141" s="26" t="s">
        <v>229</v>
      </c>
      <c r="B141" s="27">
        <v>45957</v>
      </c>
      <c r="C141" s="26" t="s">
        <v>359</v>
      </c>
      <c r="D141" s="26" t="s">
        <v>13</v>
      </c>
      <c r="E141" s="26" t="s">
        <v>91</v>
      </c>
      <c r="F141" s="26" t="s">
        <v>20</v>
      </c>
      <c r="G141" s="26" t="s">
        <v>90</v>
      </c>
      <c r="H141" s="28">
        <v>149.99652173913043</v>
      </c>
      <c r="I141" s="26">
        <v>5</v>
      </c>
      <c r="J141" s="29">
        <v>0</v>
      </c>
      <c r="K141" s="30">
        <f>(Raw_Data[[#This Row],[Cena jedn. (Price unit)]]-(Raw_Data[[#This Row],[Cena jedn. (Price unit)]]*Raw_Data[[#This Row],[Zniżka (Discount)]]))*Raw_Data[[#This Row],[Ilość (Quant.)]]</f>
        <v>749.98260869565217</v>
      </c>
    </row>
    <row r="142" spans="1:11" x14ac:dyDescent="0.25">
      <c r="A142" s="26" t="s">
        <v>230</v>
      </c>
      <c r="B142" s="27">
        <v>45748</v>
      </c>
      <c r="C142" s="26" t="s">
        <v>362</v>
      </c>
      <c r="D142" s="26" t="s">
        <v>3</v>
      </c>
      <c r="E142" s="26" t="s">
        <v>96</v>
      </c>
      <c r="F142" s="26" t="s">
        <v>17</v>
      </c>
      <c r="G142" s="26" t="s">
        <v>95</v>
      </c>
      <c r="H142" s="28">
        <v>73.683333333333337</v>
      </c>
      <c r="I142" s="26">
        <v>4</v>
      </c>
      <c r="J142" s="29">
        <v>0.15</v>
      </c>
      <c r="K142" s="30">
        <f>(Raw_Data[[#This Row],[Cena jedn. (Price unit)]]-(Raw_Data[[#This Row],[Cena jedn. (Price unit)]]*Raw_Data[[#This Row],[Zniżka (Discount)]]))*Raw_Data[[#This Row],[Ilość (Quant.)]]</f>
        <v>250.52333333333334</v>
      </c>
    </row>
    <row r="143" spans="1:11" x14ac:dyDescent="0.25">
      <c r="A143" s="26" t="s">
        <v>231</v>
      </c>
      <c r="B143" s="27">
        <v>45871</v>
      </c>
      <c r="C143" s="26" t="s">
        <v>27</v>
      </c>
      <c r="D143" s="26" t="s">
        <v>10</v>
      </c>
      <c r="E143" s="26" t="s">
        <v>96</v>
      </c>
      <c r="F143" s="26" t="s">
        <v>17</v>
      </c>
      <c r="G143" s="26" t="s">
        <v>95</v>
      </c>
      <c r="H143" s="28">
        <v>26.632857142857137</v>
      </c>
      <c r="I143" s="26">
        <v>3</v>
      </c>
      <c r="J143" s="29">
        <v>0.05</v>
      </c>
      <c r="K143" s="30">
        <f>(Raw_Data[[#This Row],[Cena jedn. (Price unit)]]-(Raw_Data[[#This Row],[Cena jedn. (Price unit)]]*Raw_Data[[#This Row],[Zniżka (Discount)]]))*Raw_Data[[#This Row],[Ilość (Quant.)]]</f>
        <v>75.903642857142842</v>
      </c>
    </row>
    <row r="144" spans="1:11" x14ac:dyDescent="0.25">
      <c r="A144" s="26" t="s">
        <v>232</v>
      </c>
      <c r="B144" s="27">
        <v>45870</v>
      </c>
      <c r="C144" s="26" t="s">
        <v>40</v>
      </c>
      <c r="D144" s="26" t="s">
        <v>33</v>
      </c>
      <c r="E144" s="26" t="s">
        <v>96</v>
      </c>
      <c r="F144" s="26" t="s">
        <v>17</v>
      </c>
      <c r="G144" s="26" t="s">
        <v>95</v>
      </c>
      <c r="H144" s="28">
        <v>41.944545454545462</v>
      </c>
      <c r="I144" s="26">
        <v>5</v>
      </c>
      <c r="J144" s="29">
        <v>0</v>
      </c>
      <c r="K144" s="30">
        <f>(Raw_Data[[#This Row],[Cena jedn. (Price unit)]]-(Raw_Data[[#This Row],[Cena jedn. (Price unit)]]*Raw_Data[[#This Row],[Zniżka (Discount)]]))*Raw_Data[[#This Row],[Ilość (Quant.)]]</f>
        <v>209.7227272727273</v>
      </c>
    </row>
    <row r="145" spans="1:11" x14ac:dyDescent="0.25">
      <c r="A145" s="26" t="s">
        <v>233</v>
      </c>
      <c r="B145" s="27">
        <v>45826</v>
      </c>
      <c r="C145" s="26" t="s">
        <v>1</v>
      </c>
      <c r="D145" s="26" t="s">
        <v>13</v>
      </c>
      <c r="E145" s="26" t="s">
        <v>101</v>
      </c>
      <c r="F145" s="26" t="s">
        <v>14</v>
      </c>
      <c r="G145" s="26" t="s">
        <v>100</v>
      </c>
      <c r="H145" s="28">
        <v>598.3471428571429</v>
      </c>
      <c r="I145" s="26">
        <v>3</v>
      </c>
      <c r="J145" s="29">
        <v>0.05</v>
      </c>
      <c r="K145" s="30">
        <f>(Raw_Data[[#This Row],[Cena jedn. (Price unit)]]-(Raw_Data[[#This Row],[Cena jedn. (Price unit)]]*Raw_Data[[#This Row],[Zniżka (Discount)]]))*Raw_Data[[#This Row],[Ilość (Quant.)]]</f>
        <v>1705.2893571428574</v>
      </c>
    </row>
    <row r="146" spans="1:11" x14ac:dyDescent="0.25">
      <c r="A146" s="26" t="s">
        <v>234</v>
      </c>
      <c r="B146" s="27">
        <v>45945</v>
      </c>
      <c r="C146" s="26" t="s">
        <v>366</v>
      </c>
      <c r="D146" s="26" t="s">
        <v>13</v>
      </c>
      <c r="E146" s="26" t="s">
        <v>101</v>
      </c>
      <c r="F146" s="26" t="s">
        <v>14</v>
      </c>
      <c r="G146" s="26" t="s">
        <v>100</v>
      </c>
      <c r="H146" s="28">
        <v>643.64714285714285</v>
      </c>
      <c r="I146" s="26">
        <v>4</v>
      </c>
      <c r="J146" s="29">
        <v>0.05</v>
      </c>
      <c r="K146" s="30">
        <f>(Raw_Data[[#This Row],[Cena jedn. (Price unit)]]-(Raw_Data[[#This Row],[Cena jedn. (Price unit)]]*Raw_Data[[#This Row],[Zniżka (Discount)]]))*Raw_Data[[#This Row],[Ilość (Quant.)]]</f>
        <v>2445.8591428571426</v>
      </c>
    </row>
    <row r="147" spans="1:11" x14ac:dyDescent="0.25">
      <c r="A147" s="26" t="s">
        <v>235</v>
      </c>
      <c r="B147" s="27">
        <v>45889</v>
      </c>
      <c r="C147" s="26" t="s">
        <v>64</v>
      </c>
      <c r="D147" s="26" t="s">
        <v>10</v>
      </c>
      <c r="E147" s="26" t="s">
        <v>18</v>
      </c>
      <c r="F147" s="26" t="s">
        <v>17</v>
      </c>
      <c r="G147" s="26" t="s">
        <v>25</v>
      </c>
      <c r="H147" s="28">
        <v>71.461111111111109</v>
      </c>
      <c r="I147" s="26">
        <v>3</v>
      </c>
      <c r="J147" s="29">
        <v>0.1</v>
      </c>
      <c r="K147" s="30">
        <f>(Raw_Data[[#This Row],[Cena jedn. (Price unit)]]-(Raw_Data[[#This Row],[Cena jedn. (Price unit)]]*Raw_Data[[#This Row],[Zniżka (Discount)]]))*Raw_Data[[#This Row],[Ilość (Quant.)]]</f>
        <v>192.94499999999999</v>
      </c>
    </row>
    <row r="148" spans="1:11" hidden="1" x14ac:dyDescent="0.25">
      <c r="A148" s="26" t="s">
        <v>236</v>
      </c>
      <c r="B148" s="27">
        <v>45973</v>
      </c>
      <c r="C148" s="26" t="s">
        <v>363</v>
      </c>
      <c r="D148" s="26" t="s">
        <v>13</v>
      </c>
      <c r="E148" s="26" t="s">
        <v>101</v>
      </c>
      <c r="F148" s="26" t="s">
        <v>14</v>
      </c>
      <c r="G148" s="26" t="s">
        <v>100</v>
      </c>
      <c r="H148" s="28">
        <v>113.37888888888888</v>
      </c>
      <c r="I148" s="26">
        <v>5</v>
      </c>
      <c r="J148" s="29">
        <v>0.2</v>
      </c>
      <c r="K148" s="30">
        <f>(Raw_Data[[#This Row],[Cena jedn. (Price unit)]]-(Raw_Data[[#This Row],[Cena jedn. (Price unit)]]*Raw_Data[[#This Row],[Zniżka (Discount)]]))*Raw_Data[[#This Row],[Ilość (Quant.)]]</f>
        <v>453.51555555555547</v>
      </c>
    </row>
    <row r="149" spans="1:11" x14ac:dyDescent="0.25">
      <c r="A149" s="26" t="s">
        <v>237</v>
      </c>
      <c r="B149" s="27">
        <v>45941</v>
      </c>
      <c r="C149" s="26" t="s">
        <v>367</v>
      </c>
      <c r="D149" s="26" t="s">
        <v>3</v>
      </c>
      <c r="E149" s="26" t="s">
        <v>101</v>
      </c>
      <c r="F149" s="26" t="s">
        <v>14</v>
      </c>
      <c r="G149" s="26" t="s">
        <v>100</v>
      </c>
      <c r="H149" s="28">
        <v>417.56142857142862</v>
      </c>
      <c r="I149" s="26">
        <v>4</v>
      </c>
      <c r="J149" s="29">
        <v>0.15</v>
      </c>
      <c r="K149" s="30">
        <f>(Raw_Data[[#This Row],[Cena jedn. (Price unit)]]-(Raw_Data[[#This Row],[Cena jedn. (Price unit)]]*Raw_Data[[#This Row],[Zniżka (Discount)]]))*Raw_Data[[#This Row],[Ilość (Quant.)]]</f>
        <v>1419.7088571428574</v>
      </c>
    </row>
    <row r="150" spans="1:11" hidden="1" x14ac:dyDescent="0.25">
      <c r="A150" s="26" t="s">
        <v>238</v>
      </c>
      <c r="B150" s="27">
        <v>45979</v>
      </c>
      <c r="C150" s="26" t="s">
        <v>357</v>
      </c>
      <c r="D150" s="26" t="s">
        <v>10</v>
      </c>
      <c r="E150" s="26" t="s">
        <v>107</v>
      </c>
      <c r="F150" s="26" t="s">
        <v>4</v>
      </c>
      <c r="G150" s="26" t="s">
        <v>106</v>
      </c>
      <c r="H150" s="28">
        <v>75.812727272727273</v>
      </c>
      <c r="I150" s="26">
        <v>2</v>
      </c>
      <c r="J150" s="29">
        <v>0</v>
      </c>
      <c r="K150" s="30">
        <f>(Raw_Data[[#This Row],[Cena jedn. (Price unit)]]-(Raw_Data[[#This Row],[Cena jedn. (Price unit)]]*Raw_Data[[#This Row],[Zniżka (Discount)]]))*Raw_Data[[#This Row],[Ilość (Quant.)]]</f>
        <v>151.62545454545455</v>
      </c>
    </row>
    <row r="151" spans="1:11" x14ac:dyDescent="0.25">
      <c r="A151" s="26" t="s">
        <v>239</v>
      </c>
      <c r="B151" s="27">
        <v>45778</v>
      </c>
      <c r="C151" s="26" t="s">
        <v>368</v>
      </c>
      <c r="D151" s="26" t="s">
        <v>3</v>
      </c>
      <c r="E151" s="26" t="s">
        <v>107</v>
      </c>
      <c r="F151" s="26" t="s">
        <v>4</v>
      </c>
      <c r="G151" s="26" t="s">
        <v>106</v>
      </c>
      <c r="H151" s="28">
        <v>48.389999999999993</v>
      </c>
      <c r="I151" s="26">
        <v>2</v>
      </c>
      <c r="J151" s="29">
        <v>0.05</v>
      </c>
      <c r="K151" s="30">
        <f>(Raw_Data[[#This Row],[Cena jedn. (Price unit)]]-(Raw_Data[[#This Row],[Cena jedn. (Price unit)]]*Raw_Data[[#This Row],[Zniżka (Discount)]]))*Raw_Data[[#This Row],[Ilość (Quant.)]]</f>
        <v>91.940999999999988</v>
      </c>
    </row>
    <row r="152" spans="1:11" x14ac:dyDescent="0.25">
      <c r="A152" s="26" t="s">
        <v>240</v>
      </c>
      <c r="B152" s="27">
        <v>45915</v>
      </c>
      <c r="C152" s="26" t="s">
        <v>22</v>
      </c>
      <c r="D152" s="26" t="s">
        <v>10</v>
      </c>
      <c r="E152" s="26" t="s">
        <v>107</v>
      </c>
      <c r="F152" s="26" t="s">
        <v>4</v>
      </c>
      <c r="G152" s="26" t="s">
        <v>106</v>
      </c>
      <c r="H152" s="28">
        <v>102.27913043478262</v>
      </c>
      <c r="I152" s="26">
        <v>5</v>
      </c>
      <c r="J152" s="29">
        <v>0.1</v>
      </c>
      <c r="K152" s="30">
        <f>(Raw_Data[[#This Row],[Cena jedn. (Price unit)]]-(Raw_Data[[#This Row],[Cena jedn. (Price unit)]]*Raw_Data[[#This Row],[Zniżka (Discount)]]))*Raw_Data[[#This Row],[Ilość (Quant.)]]</f>
        <v>460.25608695652176</v>
      </c>
    </row>
    <row r="153" spans="1:11" x14ac:dyDescent="0.25">
      <c r="A153" s="26" t="s">
        <v>241</v>
      </c>
      <c r="B153" s="27">
        <v>45760</v>
      </c>
      <c r="C153" s="26" t="s">
        <v>366</v>
      </c>
      <c r="D153" s="26" t="s">
        <v>10</v>
      </c>
      <c r="E153" s="26" t="s">
        <v>112</v>
      </c>
      <c r="F153" s="26" t="s">
        <v>17</v>
      </c>
      <c r="G153" s="26" t="s">
        <v>111</v>
      </c>
      <c r="H153" s="28">
        <v>617.93285714285719</v>
      </c>
      <c r="I153" s="26">
        <v>3</v>
      </c>
      <c r="J153" s="29">
        <v>0.2</v>
      </c>
      <c r="K153" s="30">
        <f>(Raw_Data[[#This Row],[Cena jedn. (Price unit)]]-(Raw_Data[[#This Row],[Cena jedn. (Price unit)]]*Raw_Data[[#This Row],[Zniżka (Discount)]]))*Raw_Data[[#This Row],[Ilość (Quant.)]]</f>
        <v>1483.0388571428571</v>
      </c>
    </row>
    <row r="154" spans="1:11" hidden="1" x14ac:dyDescent="0.25">
      <c r="A154" s="26" t="s">
        <v>242</v>
      </c>
      <c r="B154" s="27">
        <v>45715</v>
      </c>
      <c r="C154" s="26" t="s">
        <v>8</v>
      </c>
      <c r="D154" s="26" t="s">
        <v>3</v>
      </c>
      <c r="E154" s="26" t="s">
        <v>112</v>
      </c>
      <c r="F154" s="26" t="s">
        <v>17</v>
      </c>
      <c r="G154" s="26" t="s">
        <v>111</v>
      </c>
      <c r="H154" s="28">
        <v>9.484444444444442</v>
      </c>
      <c r="I154" s="26">
        <v>5</v>
      </c>
      <c r="J154" s="29">
        <v>0</v>
      </c>
      <c r="K154" s="30">
        <f>(Raw_Data[[#This Row],[Cena jedn. (Price unit)]]-(Raw_Data[[#This Row],[Cena jedn. (Price unit)]]*Raw_Data[[#This Row],[Zniżka (Discount)]]))*Raw_Data[[#This Row],[Ilość (Quant.)]]</f>
        <v>47.42222222222221</v>
      </c>
    </row>
    <row r="155" spans="1:11" x14ac:dyDescent="0.25">
      <c r="A155" s="26" t="s">
        <v>243</v>
      </c>
      <c r="B155" s="27">
        <v>45735</v>
      </c>
      <c r="C155" s="26" t="s">
        <v>64</v>
      </c>
      <c r="D155" s="26" t="s">
        <v>13</v>
      </c>
      <c r="E155" s="26" t="s">
        <v>112</v>
      </c>
      <c r="F155" s="26" t="s">
        <v>17</v>
      </c>
      <c r="G155" s="26" t="s">
        <v>111</v>
      </c>
      <c r="H155" s="28">
        <v>72.456666666666678</v>
      </c>
      <c r="I155" s="26">
        <v>2</v>
      </c>
      <c r="J155" s="29">
        <v>0.1</v>
      </c>
      <c r="K155" s="30">
        <f>(Raw_Data[[#This Row],[Cena jedn. (Price unit)]]-(Raw_Data[[#This Row],[Cena jedn. (Price unit)]]*Raw_Data[[#This Row],[Zniżka (Discount)]]))*Raw_Data[[#This Row],[Ilość (Quant.)]]</f>
        <v>130.42200000000003</v>
      </c>
    </row>
    <row r="156" spans="1:11" x14ac:dyDescent="0.25">
      <c r="A156" s="26" t="s">
        <v>244</v>
      </c>
      <c r="B156" s="27">
        <v>45773</v>
      </c>
      <c r="C156" s="26" t="s">
        <v>364</v>
      </c>
      <c r="D156" s="26" t="s">
        <v>10</v>
      </c>
      <c r="E156" s="26" t="s">
        <v>112</v>
      </c>
      <c r="F156" s="26" t="s">
        <v>17</v>
      </c>
      <c r="G156" s="26" t="s">
        <v>111</v>
      </c>
      <c r="H156" s="28">
        <v>15.79</v>
      </c>
      <c r="I156" s="26">
        <v>4</v>
      </c>
      <c r="J156" s="29">
        <v>0</v>
      </c>
      <c r="K156" s="30">
        <f>(Raw_Data[[#This Row],[Cena jedn. (Price unit)]]-(Raw_Data[[#This Row],[Cena jedn. (Price unit)]]*Raw_Data[[#This Row],[Zniżka (Discount)]]))*Raw_Data[[#This Row],[Ilość (Quant.)]]</f>
        <v>63.16</v>
      </c>
    </row>
    <row r="157" spans="1:11" hidden="1" x14ac:dyDescent="0.25">
      <c r="A157" s="26" t="s">
        <v>245</v>
      </c>
      <c r="B157" s="27">
        <v>45708</v>
      </c>
      <c r="C157" s="26" t="s">
        <v>367</v>
      </c>
      <c r="D157" s="26" t="s">
        <v>13</v>
      </c>
      <c r="E157" s="26" t="s">
        <v>112</v>
      </c>
      <c r="F157" s="26" t="s">
        <v>17</v>
      </c>
      <c r="G157" s="26" t="s">
        <v>111</v>
      </c>
      <c r="H157" s="28">
        <v>440.70428571428579</v>
      </c>
      <c r="I157" s="26">
        <v>1</v>
      </c>
      <c r="J157" s="29">
        <v>0.05</v>
      </c>
      <c r="K157" s="30">
        <f>(Raw_Data[[#This Row],[Cena jedn. (Price unit)]]-(Raw_Data[[#This Row],[Cena jedn. (Price unit)]]*Raw_Data[[#This Row],[Zniżka (Discount)]]))*Raw_Data[[#This Row],[Ilość (Quant.)]]</f>
        <v>418.6690714285715</v>
      </c>
    </row>
    <row r="158" spans="1:11" x14ac:dyDescent="0.25">
      <c r="A158" s="26" t="s">
        <v>246</v>
      </c>
      <c r="B158" s="27">
        <v>45812</v>
      </c>
      <c r="C158" s="26" t="s">
        <v>1</v>
      </c>
      <c r="D158" s="26" t="s">
        <v>13</v>
      </c>
      <c r="E158" s="26" t="s">
        <v>18</v>
      </c>
      <c r="F158" s="26" t="s">
        <v>17</v>
      </c>
      <c r="G158" s="26" t="s">
        <v>25</v>
      </c>
      <c r="H158" s="28">
        <v>523.06142857142856</v>
      </c>
      <c r="I158" s="26">
        <v>3</v>
      </c>
      <c r="J158" s="29">
        <v>0</v>
      </c>
      <c r="K158" s="30">
        <f>(Raw_Data[[#This Row],[Cena jedn. (Price unit)]]-(Raw_Data[[#This Row],[Cena jedn. (Price unit)]]*Raw_Data[[#This Row],[Zniżka (Discount)]]))*Raw_Data[[#This Row],[Ilość (Quant.)]]</f>
        <v>1569.1842857142856</v>
      </c>
    </row>
    <row r="159" spans="1:11" x14ac:dyDescent="0.25">
      <c r="A159" s="26" t="s">
        <v>247</v>
      </c>
      <c r="B159" s="27">
        <v>45950</v>
      </c>
      <c r="C159" s="26" t="s">
        <v>368</v>
      </c>
      <c r="D159" s="26" t="s">
        <v>33</v>
      </c>
      <c r="E159" s="26" t="s">
        <v>119</v>
      </c>
      <c r="F159" s="26" t="s">
        <v>17</v>
      </c>
      <c r="G159" s="26" t="s">
        <v>118</v>
      </c>
      <c r="H159" s="28">
        <v>44.54</v>
      </c>
      <c r="I159" s="26">
        <v>4</v>
      </c>
      <c r="J159" s="29">
        <v>0.1</v>
      </c>
      <c r="K159" s="30">
        <f>(Raw_Data[[#This Row],[Cena jedn. (Price unit)]]-(Raw_Data[[#This Row],[Cena jedn. (Price unit)]]*Raw_Data[[#This Row],[Zniżka (Discount)]]))*Raw_Data[[#This Row],[Ilość (Quant.)]]</f>
        <v>160.34399999999999</v>
      </c>
    </row>
    <row r="160" spans="1:11" hidden="1" x14ac:dyDescent="0.25">
      <c r="A160" s="26" t="s">
        <v>248</v>
      </c>
      <c r="B160" s="27">
        <v>45987</v>
      </c>
      <c r="C160" s="26" t="s">
        <v>362</v>
      </c>
      <c r="D160" s="26" t="s">
        <v>33</v>
      </c>
      <c r="E160" s="26" t="s">
        <v>119</v>
      </c>
      <c r="F160" s="26" t="s">
        <v>17</v>
      </c>
      <c r="G160" s="26" t="s">
        <v>118</v>
      </c>
      <c r="H160" s="28">
        <v>79.156666666666666</v>
      </c>
      <c r="I160" s="26">
        <v>3</v>
      </c>
      <c r="J160" s="29">
        <v>0.2</v>
      </c>
      <c r="K160" s="30">
        <f>(Raw_Data[[#This Row],[Cena jedn. (Price unit)]]-(Raw_Data[[#This Row],[Cena jedn. (Price unit)]]*Raw_Data[[#This Row],[Zniżka (Discount)]]))*Raw_Data[[#This Row],[Ilość (Quant.)]]</f>
        <v>189.976</v>
      </c>
    </row>
    <row r="161" spans="1:11" x14ac:dyDescent="0.25">
      <c r="A161" s="26" t="s">
        <v>249</v>
      </c>
      <c r="B161" s="27">
        <v>45858</v>
      </c>
      <c r="C161" s="26" t="s">
        <v>27</v>
      </c>
      <c r="D161" s="26" t="s">
        <v>33</v>
      </c>
      <c r="E161" s="26" t="s">
        <v>119</v>
      </c>
      <c r="F161" s="26" t="s">
        <v>17</v>
      </c>
      <c r="G161" s="26" t="s">
        <v>118</v>
      </c>
      <c r="H161" s="28">
        <v>27.361428571428569</v>
      </c>
      <c r="I161" s="26">
        <v>5</v>
      </c>
      <c r="J161" s="29">
        <v>0.05</v>
      </c>
      <c r="K161" s="30">
        <f>(Raw_Data[[#This Row],[Cena jedn. (Price unit)]]-(Raw_Data[[#This Row],[Cena jedn. (Price unit)]]*Raw_Data[[#This Row],[Zniżka (Discount)]]))*Raw_Data[[#This Row],[Ilość (Quant.)]]</f>
        <v>129.96678571428569</v>
      </c>
    </row>
    <row r="162" spans="1:11" x14ac:dyDescent="0.25">
      <c r="A162" s="26" t="s">
        <v>250</v>
      </c>
      <c r="B162" s="27">
        <v>45841</v>
      </c>
      <c r="C162" s="26" t="s">
        <v>27</v>
      </c>
      <c r="D162" s="26" t="s">
        <v>3</v>
      </c>
      <c r="E162" s="26" t="s">
        <v>124</v>
      </c>
      <c r="F162" s="26" t="s">
        <v>31</v>
      </c>
      <c r="G162" s="26" t="s">
        <v>123</v>
      </c>
      <c r="H162" s="28">
        <v>26.49285714285714</v>
      </c>
      <c r="I162" s="26">
        <v>4</v>
      </c>
      <c r="J162" s="29">
        <v>0.1</v>
      </c>
      <c r="K162" s="30">
        <f>(Raw_Data[[#This Row],[Cena jedn. (Price unit)]]-(Raw_Data[[#This Row],[Cena jedn. (Price unit)]]*Raw_Data[[#This Row],[Zniżka (Discount)]]))*Raw_Data[[#This Row],[Ilość (Quant.)]]</f>
        <v>95.374285714285705</v>
      </c>
    </row>
    <row r="163" spans="1:11" x14ac:dyDescent="0.25">
      <c r="A163" s="26" t="s">
        <v>251</v>
      </c>
      <c r="B163" s="27">
        <v>45765</v>
      </c>
      <c r="C163" s="26" t="s">
        <v>1</v>
      </c>
      <c r="D163" s="26" t="s">
        <v>3</v>
      </c>
      <c r="E163" s="26" t="s">
        <v>124</v>
      </c>
      <c r="F163" s="26" t="s">
        <v>31</v>
      </c>
      <c r="G163" s="26" t="s">
        <v>123</v>
      </c>
      <c r="H163" s="28">
        <v>611.49285714285713</v>
      </c>
      <c r="I163" s="26">
        <v>1</v>
      </c>
      <c r="J163" s="29">
        <v>0.15</v>
      </c>
      <c r="K163" s="30">
        <f>(Raw_Data[[#This Row],[Cena jedn. (Price unit)]]-(Raw_Data[[#This Row],[Cena jedn. (Price unit)]]*Raw_Data[[#This Row],[Zniżka (Discount)]]))*Raw_Data[[#This Row],[Ilość (Quant.)]]</f>
        <v>519.76892857142855</v>
      </c>
    </row>
    <row r="164" spans="1:11" x14ac:dyDescent="0.25">
      <c r="A164" s="26" t="s">
        <v>252</v>
      </c>
      <c r="B164" s="27">
        <v>45720</v>
      </c>
      <c r="C164" s="26" t="s">
        <v>1</v>
      </c>
      <c r="D164" s="26" t="s">
        <v>3</v>
      </c>
      <c r="E164" s="26" t="s">
        <v>124</v>
      </c>
      <c r="F164" s="26" t="s">
        <v>31</v>
      </c>
      <c r="G164" s="26" t="s">
        <v>123</v>
      </c>
      <c r="H164" s="28">
        <v>487.63285714285718</v>
      </c>
      <c r="I164" s="26">
        <v>3</v>
      </c>
      <c r="J164" s="29">
        <v>0</v>
      </c>
      <c r="K164" s="30">
        <f>(Raw_Data[[#This Row],[Cena jedn. (Price unit)]]-(Raw_Data[[#This Row],[Cena jedn. (Price unit)]]*Raw_Data[[#This Row],[Zniżka (Discount)]]))*Raw_Data[[#This Row],[Ilość (Quant.)]]</f>
        <v>1462.8985714285716</v>
      </c>
    </row>
    <row r="165" spans="1:11" x14ac:dyDescent="0.25">
      <c r="A165" s="26" t="s">
        <v>253</v>
      </c>
      <c r="B165" s="27">
        <v>45856</v>
      </c>
      <c r="C165" s="26" t="s">
        <v>360</v>
      </c>
      <c r="D165" s="26" t="s">
        <v>13</v>
      </c>
      <c r="E165" s="26" t="s">
        <v>124</v>
      </c>
      <c r="F165" s="26" t="s">
        <v>31</v>
      </c>
      <c r="G165" s="26" t="s">
        <v>123</v>
      </c>
      <c r="H165" s="28">
        <v>98.642173913043464</v>
      </c>
      <c r="I165" s="26">
        <v>3</v>
      </c>
      <c r="J165" s="29">
        <v>0.05</v>
      </c>
      <c r="K165" s="30">
        <f>(Raw_Data[[#This Row],[Cena jedn. (Price unit)]]-(Raw_Data[[#This Row],[Cena jedn. (Price unit)]]*Raw_Data[[#This Row],[Zniżka (Discount)]]))*Raw_Data[[#This Row],[Ilość (Quant.)]]</f>
        <v>281.13019565217388</v>
      </c>
    </row>
    <row r="166" spans="1:11" x14ac:dyDescent="0.25">
      <c r="A166" s="26" t="s">
        <v>254</v>
      </c>
      <c r="B166" s="27">
        <v>45890</v>
      </c>
      <c r="C166" s="26" t="s">
        <v>366</v>
      </c>
      <c r="D166" s="26" t="s">
        <v>13</v>
      </c>
      <c r="E166" s="26" t="s">
        <v>124</v>
      </c>
      <c r="F166" s="26" t="s">
        <v>31</v>
      </c>
      <c r="G166" s="26" t="s">
        <v>123</v>
      </c>
      <c r="H166" s="28">
        <v>720.99</v>
      </c>
      <c r="I166" s="26">
        <v>2</v>
      </c>
      <c r="J166" s="29">
        <v>0.05</v>
      </c>
      <c r="K166" s="30">
        <f>(Raw_Data[[#This Row],[Cena jedn. (Price unit)]]-(Raw_Data[[#This Row],[Cena jedn. (Price unit)]]*Raw_Data[[#This Row],[Zniżka (Discount)]]))*Raw_Data[[#This Row],[Ilość (Quant.)]]</f>
        <v>1369.8810000000001</v>
      </c>
    </row>
    <row r="167" spans="1:11" x14ac:dyDescent="0.25">
      <c r="A167" s="26" t="s">
        <v>255</v>
      </c>
      <c r="B167" s="27">
        <v>45822</v>
      </c>
      <c r="C167" s="26" t="s">
        <v>367</v>
      </c>
      <c r="D167" s="26" t="s">
        <v>13</v>
      </c>
      <c r="E167" s="26" t="s">
        <v>131</v>
      </c>
      <c r="F167" s="26" t="s">
        <v>4</v>
      </c>
      <c r="G167" s="26" t="s">
        <v>130</v>
      </c>
      <c r="H167" s="28">
        <v>525.06142857142856</v>
      </c>
      <c r="I167" s="26">
        <v>1</v>
      </c>
      <c r="J167" s="29">
        <v>0</v>
      </c>
      <c r="K167" s="30">
        <f>(Raw_Data[[#This Row],[Cena jedn. (Price unit)]]-(Raw_Data[[#This Row],[Cena jedn. (Price unit)]]*Raw_Data[[#This Row],[Zniżka (Discount)]]))*Raw_Data[[#This Row],[Ilość (Quant.)]]</f>
        <v>525.06142857142856</v>
      </c>
    </row>
    <row r="168" spans="1:11" hidden="1" x14ac:dyDescent="0.25">
      <c r="A168" s="26" t="s">
        <v>256</v>
      </c>
      <c r="B168" s="27">
        <v>45985</v>
      </c>
      <c r="C168" s="26" t="s">
        <v>368</v>
      </c>
      <c r="D168" s="26" t="s">
        <v>13</v>
      </c>
      <c r="E168" s="26" t="s">
        <v>131</v>
      </c>
      <c r="F168" s="26" t="s">
        <v>4</v>
      </c>
      <c r="G168" s="26" t="s">
        <v>130</v>
      </c>
      <c r="H168" s="28">
        <v>56.390000000000008</v>
      </c>
      <c r="I168" s="26">
        <v>4</v>
      </c>
      <c r="J168" s="29">
        <v>0</v>
      </c>
      <c r="K168" s="30">
        <f>(Raw_Data[[#This Row],[Cena jedn. (Price unit)]]-(Raw_Data[[#This Row],[Cena jedn. (Price unit)]]*Raw_Data[[#This Row],[Zniżka (Discount)]]))*Raw_Data[[#This Row],[Ilość (Quant.)]]</f>
        <v>225.56000000000003</v>
      </c>
    </row>
    <row r="169" spans="1:11" x14ac:dyDescent="0.25">
      <c r="A169" s="26" t="s">
        <v>257</v>
      </c>
      <c r="B169" s="27">
        <v>45897</v>
      </c>
      <c r="C169" s="26" t="s">
        <v>359</v>
      </c>
      <c r="D169" s="26" t="s">
        <v>13</v>
      </c>
      <c r="E169" s="26" t="s">
        <v>18</v>
      </c>
      <c r="F169" s="26" t="s">
        <v>17</v>
      </c>
      <c r="G169" s="26" t="s">
        <v>25</v>
      </c>
      <c r="H169" s="28">
        <v>133.25739130434783</v>
      </c>
      <c r="I169" s="26">
        <v>5</v>
      </c>
      <c r="J169" s="29">
        <v>0.1</v>
      </c>
      <c r="K169" s="30">
        <f>(Raw_Data[[#This Row],[Cena jedn. (Price unit)]]-(Raw_Data[[#This Row],[Cena jedn. (Price unit)]]*Raw_Data[[#This Row],[Zniżka (Discount)]]))*Raw_Data[[#This Row],[Ilość (Quant.)]]</f>
        <v>599.65826086956531</v>
      </c>
    </row>
    <row r="170" spans="1:11" x14ac:dyDescent="0.25">
      <c r="A170" s="26" t="s">
        <v>258</v>
      </c>
      <c r="B170" s="27">
        <v>45823</v>
      </c>
      <c r="C170" s="26" t="s">
        <v>363</v>
      </c>
      <c r="D170" s="26" t="s">
        <v>10</v>
      </c>
      <c r="E170" s="26" t="s">
        <v>131</v>
      </c>
      <c r="F170" s="26" t="s">
        <v>4</v>
      </c>
      <c r="G170" s="26" t="s">
        <v>130</v>
      </c>
      <c r="H170" s="28">
        <v>123.20666666666666</v>
      </c>
      <c r="I170" s="26">
        <v>1</v>
      </c>
      <c r="J170" s="29">
        <v>0.1</v>
      </c>
      <c r="K170" s="30">
        <f>(Raw_Data[[#This Row],[Cena jedn. (Price unit)]]-(Raw_Data[[#This Row],[Cena jedn. (Price unit)]]*Raw_Data[[#This Row],[Zniżka (Discount)]]))*Raw_Data[[#This Row],[Ilość (Quant.)]]</f>
        <v>110.886</v>
      </c>
    </row>
    <row r="171" spans="1:11" x14ac:dyDescent="0.25">
      <c r="A171" s="26" t="s">
        <v>259</v>
      </c>
      <c r="B171" s="27">
        <v>45847</v>
      </c>
      <c r="C171" s="26" t="s">
        <v>27</v>
      </c>
      <c r="D171" s="26" t="s">
        <v>13</v>
      </c>
      <c r="E171" s="26" t="s">
        <v>131</v>
      </c>
      <c r="F171" s="26" t="s">
        <v>4</v>
      </c>
      <c r="G171" s="26" t="s">
        <v>130</v>
      </c>
      <c r="H171" s="28">
        <v>28.775714285714283</v>
      </c>
      <c r="I171" s="26">
        <v>2</v>
      </c>
      <c r="J171" s="29">
        <v>0</v>
      </c>
      <c r="K171" s="30">
        <f>(Raw_Data[[#This Row],[Cena jedn. (Price unit)]]-(Raw_Data[[#This Row],[Cena jedn. (Price unit)]]*Raw_Data[[#This Row],[Zniżka (Discount)]]))*Raw_Data[[#This Row],[Ilość (Quant.)]]</f>
        <v>57.551428571428566</v>
      </c>
    </row>
    <row r="172" spans="1:11" x14ac:dyDescent="0.25">
      <c r="A172" s="26" t="s">
        <v>260</v>
      </c>
      <c r="B172" s="27">
        <v>45735</v>
      </c>
      <c r="C172" s="26" t="s">
        <v>365</v>
      </c>
      <c r="D172" s="26" t="s">
        <v>33</v>
      </c>
      <c r="E172" s="26" t="s">
        <v>137</v>
      </c>
      <c r="F172" s="26" t="s">
        <v>4</v>
      </c>
      <c r="G172" s="26" t="s">
        <v>136</v>
      </c>
      <c r="H172" s="28">
        <v>7.9288888888888893</v>
      </c>
      <c r="I172" s="26">
        <v>2</v>
      </c>
      <c r="J172" s="29">
        <v>0</v>
      </c>
      <c r="K172" s="30">
        <f>(Raw_Data[[#This Row],[Cena jedn. (Price unit)]]-(Raw_Data[[#This Row],[Cena jedn. (Price unit)]]*Raw_Data[[#This Row],[Zniżka (Discount)]]))*Raw_Data[[#This Row],[Ilość (Quant.)]]</f>
        <v>15.857777777777779</v>
      </c>
    </row>
    <row r="173" spans="1:11" x14ac:dyDescent="0.25">
      <c r="A173" s="26" t="s">
        <v>261</v>
      </c>
      <c r="B173" s="27">
        <v>45801</v>
      </c>
      <c r="C173" s="26" t="s">
        <v>1</v>
      </c>
      <c r="D173" s="26" t="s">
        <v>3</v>
      </c>
      <c r="E173" s="26" t="s">
        <v>137</v>
      </c>
      <c r="F173" s="26" t="s">
        <v>4</v>
      </c>
      <c r="G173" s="26" t="s">
        <v>136</v>
      </c>
      <c r="H173" s="28">
        <v>460.92142857142858</v>
      </c>
      <c r="I173" s="26">
        <v>4</v>
      </c>
      <c r="J173" s="29">
        <v>0</v>
      </c>
      <c r="K173" s="30">
        <f>(Raw_Data[[#This Row],[Cena jedn. (Price unit)]]-(Raw_Data[[#This Row],[Cena jedn. (Price unit)]]*Raw_Data[[#This Row],[Zniżka (Discount)]]))*Raw_Data[[#This Row],[Ilość (Quant.)]]</f>
        <v>1843.6857142857143</v>
      </c>
    </row>
    <row r="174" spans="1:11" hidden="1" x14ac:dyDescent="0.25">
      <c r="A174" s="26" t="s">
        <v>262</v>
      </c>
      <c r="B174" s="27">
        <v>46019</v>
      </c>
      <c r="C174" s="26" t="s">
        <v>361</v>
      </c>
      <c r="D174" s="26" t="s">
        <v>13</v>
      </c>
      <c r="E174" s="26" t="s">
        <v>137</v>
      </c>
      <c r="F174" s="26" t="s">
        <v>4</v>
      </c>
      <c r="G174" s="26" t="s">
        <v>136</v>
      </c>
      <c r="H174" s="28">
        <v>143.70739130434785</v>
      </c>
      <c r="I174" s="26">
        <v>3</v>
      </c>
      <c r="J174" s="29">
        <v>0.15</v>
      </c>
      <c r="K174" s="30">
        <f>(Raw_Data[[#This Row],[Cena jedn. (Price unit)]]-(Raw_Data[[#This Row],[Cena jedn. (Price unit)]]*Raw_Data[[#This Row],[Zniżka (Discount)]]))*Raw_Data[[#This Row],[Ilość (Quant.)]]</f>
        <v>366.45384782608704</v>
      </c>
    </row>
    <row r="175" spans="1:11" hidden="1" x14ac:dyDescent="0.25">
      <c r="A175" s="26" t="s">
        <v>263</v>
      </c>
      <c r="B175" s="27">
        <v>45981</v>
      </c>
      <c r="C175" s="26" t="s">
        <v>366</v>
      </c>
      <c r="D175" s="26" t="s">
        <v>10</v>
      </c>
      <c r="E175" s="26" t="s">
        <v>143</v>
      </c>
      <c r="F175" s="26" t="s">
        <v>17</v>
      </c>
      <c r="G175" s="26" t="s">
        <v>142</v>
      </c>
      <c r="H175" s="28">
        <v>581.49285714285713</v>
      </c>
      <c r="I175" s="26">
        <v>1</v>
      </c>
      <c r="J175" s="29">
        <v>0</v>
      </c>
      <c r="K175" s="30">
        <f>(Raw_Data[[#This Row],[Cena jedn. (Price unit)]]-(Raw_Data[[#This Row],[Cena jedn. (Price unit)]]*Raw_Data[[#This Row],[Zniżka (Discount)]]))*Raw_Data[[#This Row],[Ilość (Quant.)]]</f>
        <v>581.49285714285713</v>
      </c>
    </row>
    <row r="176" spans="1:11" hidden="1" x14ac:dyDescent="0.25">
      <c r="A176" s="26" t="s">
        <v>264</v>
      </c>
      <c r="B176" s="27">
        <v>45999</v>
      </c>
      <c r="C176" s="26" t="s">
        <v>366</v>
      </c>
      <c r="D176" s="26" t="s">
        <v>13</v>
      </c>
      <c r="E176" s="26" t="s">
        <v>143</v>
      </c>
      <c r="F176" s="26" t="s">
        <v>17</v>
      </c>
      <c r="G176" s="26" t="s">
        <v>142</v>
      </c>
      <c r="H176" s="28">
        <v>633.36142857142863</v>
      </c>
      <c r="I176" s="26">
        <v>1</v>
      </c>
      <c r="J176" s="29">
        <v>0.1</v>
      </c>
      <c r="K176" s="30">
        <f>(Raw_Data[[#This Row],[Cena jedn. (Price unit)]]-(Raw_Data[[#This Row],[Cena jedn. (Price unit)]]*Raw_Data[[#This Row],[Zniżka (Discount)]]))*Raw_Data[[#This Row],[Ilość (Quant.)]]</f>
        <v>570.02528571428581</v>
      </c>
    </row>
    <row r="177" spans="1:11" x14ac:dyDescent="0.25">
      <c r="A177" s="26" t="s">
        <v>265</v>
      </c>
      <c r="B177" s="27">
        <v>45712</v>
      </c>
      <c r="C177" s="26" t="s">
        <v>367</v>
      </c>
      <c r="D177" s="26" t="s">
        <v>33</v>
      </c>
      <c r="E177" s="26" t="s">
        <v>143</v>
      </c>
      <c r="F177" s="26" t="s">
        <v>17</v>
      </c>
      <c r="G177" s="26" t="s">
        <v>142</v>
      </c>
      <c r="H177" s="28">
        <v>494.06428571428575</v>
      </c>
      <c r="I177" s="26">
        <v>2</v>
      </c>
      <c r="J177" s="29">
        <v>0.05</v>
      </c>
      <c r="K177" s="30">
        <f>(Raw_Data[[#This Row],[Cena jedn. (Price unit)]]-(Raw_Data[[#This Row],[Cena jedn. (Price unit)]]*Raw_Data[[#This Row],[Zniżka (Discount)]]))*Raw_Data[[#This Row],[Ilość (Quant.)]]</f>
        <v>938.7221428571429</v>
      </c>
    </row>
    <row r="178" spans="1:11" x14ac:dyDescent="0.25">
      <c r="A178" s="26" t="s">
        <v>266</v>
      </c>
      <c r="B178" s="27">
        <v>45719</v>
      </c>
      <c r="C178" s="26" t="s">
        <v>358</v>
      </c>
      <c r="D178" s="26" t="s">
        <v>13</v>
      </c>
      <c r="E178" s="26" t="s">
        <v>143</v>
      </c>
      <c r="F178" s="26" t="s">
        <v>17</v>
      </c>
      <c r="G178" s="26" t="s">
        <v>142</v>
      </c>
      <c r="H178" s="28">
        <v>32.353636363636362</v>
      </c>
      <c r="I178" s="26">
        <v>5</v>
      </c>
      <c r="J178" s="29">
        <v>0</v>
      </c>
      <c r="K178" s="30">
        <f>(Raw_Data[[#This Row],[Cena jedn. (Price unit)]]-(Raw_Data[[#This Row],[Cena jedn. (Price unit)]]*Raw_Data[[#This Row],[Zniżka (Discount)]]))*Raw_Data[[#This Row],[Ilość (Quant.)]]</f>
        <v>161.7681818181818</v>
      </c>
    </row>
    <row r="179" spans="1:11" x14ac:dyDescent="0.25">
      <c r="A179" s="26" t="s">
        <v>267</v>
      </c>
      <c r="B179" s="27">
        <v>45894</v>
      </c>
      <c r="C179" s="26" t="s">
        <v>8</v>
      </c>
      <c r="D179" s="26" t="s">
        <v>33</v>
      </c>
      <c r="E179" s="26" t="s">
        <v>143</v>
      </c>
      <c r="F179" s="26" t="s">
        <v>17</v>
      </c>
      <c r="G179" s="26" t="s">
        <v>142</v>
      </c>
      <c r="H179" s="28">
        <v>9.4677777777777781</v>
      </c>
      <c r="I179" s="26">
        <v>1</v>
      </c>
      <c r="J179" s="29">
        <v>0.05</v>
      </c>
      <c r="K179" s="30">
        <f>(Raw_Data[[#This Row],[Cena jedn. (Price unit)]]-(Raw_Data[[#This Row],[Cena jedn. (Price unit)]]*Raw_Data[[#This Row],[Zniżka (Discount)]]))*Raw_Data[[#This Row],[Ilość (Quant.)]]</f>
        <v>8.9943888888888885</v>
      </c>
    </row>
    <row r="180" spans="1:11" x14ac:dyDescent="0.25">
      <c r="A180" s="26" t="s">
        <v>268</v>
      </c>
      <c r="B180" s="27">
        <v>45704</v>
      </c>
      <c r="C180" s="26" t="s">
        <v>368</v>
      </c>
      <c r="D180" s="26" t="s">
        <v>3</v>
      </c>
      <c r="E180" s="26" t="s">
        <v>18</v>
      </c>
      <c r="F180" s="26" t="s">
        <v>17</v>
      </c>
      <c r="G180" s="26" t="s">
        <v>25</v>
      </c>
      <c r="H180" s="28">
        <v>53.74</v>
      </c>
      <c r="I180" s="26">
        <v>4</v>
      </c>
      <c r="J180" s="29">
        <v>0.1</v>
      </c>
      <c r="K180" s="30">
        <f>(Raw_Data[[#This Row],[Cena jedn. (Price unit)]]-(Raw_Data[[#This Row],[Cena jedn. (Price unit)]]*Raw_Data[[#This Row],[Zniżka (Discount)]]))*Raw_Data[[#This Row],[Ilość (Quant.)]]</f>
        <v>193.464</v>
      </c>
    </row>
    <row r="181" spans="1:11" x14ac:dyDescent="0.25">
      <c r="A181" s="26" t="s">
        <v>269</v>
      </c>
      <c r="B181" s="27">
        <v>45953</v>
      </c>
      <c r="C181" s="26" t="s">
        <v>364</v>
      </c>
      <c r="D181" s="26" t="s">
        <v>10</v>
      </c>
      <c r="E181" s="26" t="s">
        <v>151</v>
      </c>
      <c r="F181" s="26" t="s">
        <v>17</v>
      </c>
      <c r="G181" s="26" t="s">
        <v>149</v>
      </c>
      <c r="H181" s="28">
        <v>15.461111111111109</v>
      </c>
      <c r="I181" s="26">
        <v>2</v>
      </c>
      <c r="J181" s="29">
        <v>0.15</v>
      </c>
      <c r="K181" s="30">
        <f>(Raw_Data[[#This Row],[Cena jedn. (Price unit)]]-(Raw_Data[[#This Row],[Cena jedn. (Price unit)]]*Raw_Data[[#This Row],[Zniżka (Discount)]]))*Raw_Data[[#This Row],[Ilość (Quant.)]]</f>
        <v>26.283888888888885</v>
      </c>
    </row>
    <row r="182" spans="1:11" x14ac:dyDescent="0.25">
      <c r="A182" s="26" t="s">
        <v>270</v>
      </c>
      <c r="B182" s="27">
        <v>45681</v>
      </c>
      <c r="C182" s="26" t="s">
        <v>368</v>
      </c>
      <c r="D182" s="26" t="s">
        <v>3</v>
      </c>
      <c r="E182" s="26" t="s">
        <v>151</v>
      </c>
      <c r="F182" s="26" t="s">
        <v>17</v>
      </c>
      <c r="G182" s="26" t="s">
        <v>149</v>
      </c>
      <c r="H182" s="28">
        <v>41.690000000000005</v>
      </c>
      <c r="I182" s="26">
        <v>3</v>
      </c>
      <c r="J182" s="29">
        <v>0</v>
      </c>
      <c r="K182" s="30">
        <f>(Raw_Data[[#This Row],[Cena jedn. (Price unit)]]-(Raw_Data[[#This Row],[Cena jedn. (Price unit)]]*Raw_Data[[#This Row],[Zniżka (Discount)]]))*Raw_Data[[#This Row],[Ilość (Quant.)]]</f>
        <v>125.07000000000002</v>
      </c>
    </row>
    <row r="183" spans="1:11" x14ac:dyDescent="0.25">
      <c r="A183" s="26" t="s">
        <v>271</v>
      </c>
      <c r="B183" s="27">
        <v>45756</v>
      </c>
      <c r="C183" s="26" t="s">
        <v>365</v>
      </c>
      <c r="D183" s="26" t="s">
        <v>13</v>
      </c>
      <c r="E183" s="26" t="s">
        <v>151</v>
      </c>
      <c r="F183" s="26" t="s">
        <v>17</v>
      </c>
      <c r="G183" s="26" t="s">
        <v>149</v>
      </c>
      <c r="H183" s="28">
        <v>7.3788888888888886</v>
      </c>
      <c r="I183" s="26">
        <v>1</v>
      </c>
      <c r="J183" s="29">
        <v>0.05</v>
      </c>
      <c r="K183" s="30">
        <f>(Raw_Data[[#This Row],[Cena jedn. (Price unit)]]-(Raw_Data[[#This Row],[Cena jedn. (Price unit)]]*Raw_Data[[#This Row],[Zniżka (Discount)]]))*Raw_Data[[#This Row],[Ilość (Quant.)]]</f>
        <v>7.0099444444444439</v>
      </c>
    </row>
    <row r="184" spans="1:11" x14ac:dyDescent="0.25">
      <c r="A184" s="26" t="s">
        <v>272</v>
      </c>
      <c r="B184" s="27">
        <v>45805</v>
      </c>
      <c r="C184" s="26" t="s">
        <v>367</v>
      </c>
      <c r="D184" s="26" t="s">
        <v>13</v>
      </c>
      <c r="E184" s="26" t="s">
        <v>155</v>
      </c>
      <c r="F184" s="26" t="s">
        <v>31</v>
      </c>
      <c r="G184" s="26" t="s">
        <v>154</v>
      </c>
      <c r="H184" s="28">
        <v>405.99</v>
      </c>
      <c r="I184" s="26">
        <v>5</v>
      </c>
      <c r="J184" s="29">
        <v>0</v>
      </c>
      <c r="K184" s="30">
        <f>(Raw_Data[[#This Row],[Cena jedn. (Price unit)]]-(Raw_Data[[#This Row],[Cena jedn. (Price unit)]]*Raw_Data[[#This Row],[Zniżka (Discount)]]))*Raw_Data[[#This Row],[Ilość (Quant.)]]</f>
        <v>2029.95</v>
      </c>
    </row>
    <row r="185" spans="1:11" x14ac:dyDescent="0.25">
      <c r="A185" s="26" t="s">
        <v>273</v>
      </c>
      <c r="B185" s="27">
        <v>45919</v>
      </c>
      <c r="C185" s="26" t="s">
        <v>27</v>
      </c>
      <c r="D185" s="26" t="s">
        <v>33</v>
      </c>
      <c r="E185" s="26" t="s">
        <v>155</v>
      </c>
      <c r="F185" s="26" t="s">
        <v>31</v>
      </c>
      <c r="G185" s="26" t="s">
        <v>154</v>
      </c>
      <c r="H185" s="28">
        <v>22.561428571428568</v>
      </c>
      <c r="I185" s="26">
        <v>4</v>
      </c>
      <c r="J185" s="29">
        <v>0.1</v>
      </c>
      <c r="K185" s="30">
        <f>(Raw_Data[[#This Row],[Cena jedn. (Price unit)]]-(Raw_Data[[#This Row],[Cena jedn. (Price unit)]]*Raw_Data[[#This Row],[Zniżka (Discount)]]))*Raw_Data[[#This Row],[Ilość (Quant.)]]</f>
        <v>81.221142857142837</v>
      </c>
    </row>
    <row r="186" spans="1:11" x14ac:dyDescent="0.25">
      <c r="A186" s="26" t="s">
        <v>274</v>
      </c>
      <c r="B186" s="27">
        <v>45856</v>
      </c>
      <c r="C186" s="26" t="s">
        <v>64</v>
      </c>
      <c r="D186" s="26" t="s">
        <v>3</v>
      </c>
      <c r="E186" s="26" t="s">
        <v>155</v>
      </c>
      <c r="F186" s="26" t="s">
        <v>31</v>
      </c>
      <c r="G186" s="26" t="s">
        <v>154</v>
      </c>
      <c r="H186" s="28">
        <v>73.873333333333349</v>
      </c>
      <c r="I186" s="26">
        <v>5</v>
      </c>
      <c r="J186" s="29">
        <v>0.05</v>
      </c>
      <c r="K186" s="30">
        <f>(Raw_Data[[#This Row],[Cena jedn. (Price unit)]]-(Raw_Data[[#This Row],[Cena jedn. (Price unit)]]*Raw_Data[[#This Row],[Zniżka (Discount)]]))*Raw_Data[[#This Row],[Ilość (Quant.)]]</f>
        <v>350.89833333333337</v>
      </c>
    </row>
    <row r="187" spans="1:11" hidden="1" x14ac:dyDescent="0.25">
      <c r="A187" s="26" t="s">
        <v>275</v>
      </c>
      <c r="B187" s="27">
        <v>45976</v>
      </c>
      <c r="C187" s="26" t="s">
        <v>1</v>
      </c>
      <c r="D187" s="26" t="s">
        <v>3</v>
      </c>
      <c r="E187" s="26" t="s">
        <v>155</v>
      </c>
      <c r="F187" s="26" t="s">
        <v>31</v>
      </c>
      <c r="G187" s="26" t="s">
        <v>154</v>
      </c>
      <c r="H187" s="28">
        <v>518.93285714285707</v>
      </c>
      <c r="I187" s="26">
        <v>2</v>
      </c>
      <c r="J187" s="29">
        <v>0.05</v>
      </c>
      <c r="K187" s="30">
        <f>(Raw_Data[[#This Row],[Cena jedn. (Price unit)]]-(Raw_Data[[#This Row],[Cena jedn. (Price unit)]]*Raw_Data[[#This Row],[Zniżka (Discount)]]))*Raw_Data[[#This Row],[Ilość (Quant.)]]</f>
        <v>985.9724285714284</v>
      </c>
    </row>
    <row r="188" spans="1:11" x14ac:dyDescent="0.25">
      <c r="A188" s="26" t="s">
        <v>276</v>
      </c>
      <c r="B188" s="27">
        <v>45857</v>
      </c>
      <c r="C188" s="26" t="s">
        <v>366</v>
      </c>
      <c r="D188" s="26" t="s">
        <v>3</v>
      </c>
      <c r="E188" s="26" t="s">
        <v>155</v>
      </c>
      <c r="F188" s="26" t="s">
        <v>31</v>
      </c>
      <c r="G188" s="26" t="s">
        <v>154</v>
      </c>
      <c r="H188" s="28">
        <v>556.41857142857157</v>
      </c>
      <c r="I188" s="26">
        <v>3</v>
      </c>
      <c r="J188" s="29">
        <v>0</v>
      </c>
      <c r="K188" s="30">
        <f>(Raw_Data[[#This Row],[Cena jedn. (Price unit)]]-(Raw_Data[[#This Row],[Cena jedn. (Price unit)]]*Raw_Data[[#This Row],[Zniżka (Discount)]]))*Raw_Data[[#This Row],[Ilość (Quant.)]]</f>
        <v>1669.2557142857147</v>
      </c>
    </row>
    <row r="189" spans="1:11" x14ac:dyDescent="0.25">
      <c r="A189" s="26" t="s">
        <v>277</v>
      </c>
      <c r="B189" s="27">
        <v>45825</v>
      </c>
      <c r="C189" s="26" t="s">
        <v>8</v>
      </c>
      <c r="D189" s="26" t="s">
        <v>13</v>
      </c>
      <c r="E189" s="26" t="s">
        <v>162</v>
      </c>
      <c r="F189" s="26" t="s">
        <v>20</v>
      </c>
      <c r="G189" s="26" t="s">
        <v>161</v>
      </c>
      <c r="H189" s="28">
        <v>10.616666666666667</v>
      </c>
      <c r="I189" s="26">
        <v>5</v>
      </c>
      <c r="J189" s="29">
        <v>0.05</v>
      </c>
      <c r="K189" s="30">
        <f>(Raw_Data[[#This Row],[Cena jedn. (Price unit)]]-(Raw_Data[[#This Row],[Cena jedn. (Price unit)]]*Raw_Data[[#This Row],[Zniżka (Discount)]]))*Raw_Data[[#This Row],[Ilość (Quant.)]]</f>
        <v>50.429166666666667</v>
      </c>
    </row>
    <row r="190" spans="1:11" x14ac:dyDescent="0.25">
      <c r="A190" s="26" t="s">
        <v>278</v>
      </c>
      <c r="B190" s="27">
        <v>45676</v>
      </c>
      <c r="C190" s="26" t="s">
        <v>362</v>
      </c>
      <c r="D190" s="26" t="s">
        <v>13</v>
      </c>
      <c r="E190" s="26" t="s">
        <v>162</v>
      </c>
      <c r="F190" s="26" t="s">
        <v>20</v>
      </c>
      <c r="G190" s="26" t="s">
        <v>161</v>
      </c>
      <c r="H190" s="28">
        <v>78.989999999999995</v>
      </c>
      <c r="I190" s="26">
        <v>5</v>
      </c>
      <c r="J190" s="29">
        <v>0</v>
      </c>
      <c r="K190" s="30">
        <f>(Raw_Data[[#This Row],[Cena jedn. (Price unit)]]-(Raw_Data[[#This Row],[Cena jedn. (Price unit)]]*Raw_Data[[#This Row],[Zniżka (Discount)]]))*Raw_Data[[#This Row],[Ilość (Quant.)]]</f>
        <v>394.95</v>
      </c>
    </row>
    <row r="191" spans="1:11" x14ac:dyDescent="0.25">
      <c r="A191" s="26" t="s">
        <v>279</v>
      </c>
      <c r="B191" s="27">
        <v>45880</v>
      </c>
      <c r="C191" s="26" t="s">
        <v>27</v>
      </c>
      <c r="D191" s="26" t="s">
        <v>10</v>
      </c>
      <c r="E191" s="26" t="s">
        <v>28</v>
      </c>
      <c r="F191" s="26" t="s">
        <v>14</v>
      </c>
      <c r="G191" s="26" t="s">
        <v>34</v>
      </c>
      <c r="H191" s="28">
        <v>28.004285714285711</v>
      </c>
      <c r="I191" s="26">
        <v>3</v>
      </c>
      <c r="J191" s="29">
        <v>0.05</v>
      </c>
      <c r="K191" s="30">
        <f>(Raw_Data[[#This Row],[Cena jedn. (Price unit)]]-(Raw_Data[[#This Row],[Cena jedn. (Price unit)]]*Raw_Data[[#This Row],[Zniżka (Discount)]]))*Raw_Data[[#This Row],[Ilość (Quant.)]]</f>
        <v>79.812214285714276</v>
      </c>
    </row>
    <row r="192" spans="1:11" x14ac:dyDescent="0.25">
      <c r="A192" s="26" t="s">
        <v>280</v>
      </c>
      <c r="B192" s="27">
        <v>46019</v>
      </c>
      <c r="C192" s="26" t="s">
        <v>209</v>
      </c>
      <c r="D192" s="26" t="s">
        <v>10</v>
      </c>
      <c r="E192" s="26" t="s">
        <v>166</v>
      </c>
      <c r="F192" s="26" t="s">
        <v>17</v>
      </c>
      <c r="G192" s="26" t="s">
        <v>165</v>
      </c>
      <c r="H192" s="28">
        <v>18.008181818181818</v>
      </c>
      <c r="I192" s="26">
        <v>5</v>
      </c>
      <c r="J192" s="29">
        <v>0</v>
      </c>
      <c r="K192" s="30">
        <f>(Raw_Data[[#This Row],[Cena jedn. (Price unit)]]-(Raw_Data[[#This Row],[Cena jedn. (Price unit)]]*Raw_Data[[#This Row],[Zniżka (Discount)]]))*Raw_Data[[#This Row],[Ilość (Quant.)]]</f>
        <v>90.040909090909082</v>
      </c>
    </row>
    <row r="193" spans="1:11" x14ac:dyDescent="0.25">
      <c r="A193" s="26" t="s">
        <v>281</v>
      </c>
      <c r="B193" s="27">
        <v>46015</v>
      </c>
      <c r="C193" s="26" t="s">
        <v>367</v>
      </c>
      <c r="D193" s="26" t="s">
        <v>13</v>
      </c>
      <c r="E193" s="26" t="s">
        <v>166</v>
      </c>
      <c r="F193" s="26" t="s">
        <v>17</v>
      </c>
      <c r="G193" s="26" t="s">
        <v>165</v>
      </c>
      <c r="H193" s="28">
        <v>510.13285714285718</v>
      </c>
      <c r="I193" s="26">
        <v>5</v>
      </c>
      <c r="J193" s="29">
        <v>0</v>
      </c>
      <c r="K193" s="30">
        <f>(Raw_Data[[#This Row],[Cena jedn. (Price unit)]]-(Raw_Data[[#This Row],[Cena jedn. (Price unit)]]*Raw_Data[[#This Row],[Zniżka (Discount)]]))*Raw_Data[[#This Row],[Ilość (Quant.)]]</f>
        <v>2550.6642857142861</v>
      </c>
    </row>
    <row r="194" spans="1:11" hidden="1" x14ac:dyDescent="0.25">
      <c r="A194" s="26" t="s">
        <v>282</v>
      </c>
      <c r="B194" s="27">
        <v>45993</v>
      </c>
      <c r="C194" s="26" t="s">
        <v>368</v>
      </c>
      <c r="D194" s="26" t="s">
        <v>10</v>
      </c>
      <c r="E194" s="26" t="s">
        <v>166</v>
      </c>
      <c r="F194" s="26" t="s">
        <v>17</v>
      </c>
      <c r="G194" s="26" t="s">
        <v>165</v>
      </c>
      <c r="H194" s="28">
        <v>42.750000000000007</v>
      </c>
      <c r="I194" s="26">
        <v>4</v>
      </c>
      <c r="J194" s="29">
        <v>0</v>
      </c>
      <c r="K194" s="30">
        <f>(Raw_Data[[#This Row],[Cena jedn. (Price unit)]]-(Raw_Data[[#This Row],[Cena jedn. (Price unit)]]*Raw_Data[[#This Row],[Zniżka (Discount)]]))*Raw_Data[[#This Row],[Ilość (Quant.)]]</f>
        <v>171.00000000000003</v>
      </c>
    </row>
    <row r="195" spans="1:11" hidden="1" x14ac:dyDescent="0.25">
      <c r="A195" s="26" t="s">
        <v>283</v>
      </c>
      <c r="B195" s="27">
        <v>45697</v>
      </c>
      <c r="C195" s="26" t="s">
        <v>22</v>
      </c>
      <c r="D195" s="26" t="s">
        <v>33</v>
      </c>
      <c r="E195" s="26" t="s">
        <v>166</v>
      </c>
      <c r="F195" s="26" t="s">
        <v>17</v>
      </c>
      <c r="G195" s="26" t="s">
        <v>165</v>
      </c>
      <c r="H195" s="28">
        <v>92.52391304347826</v>
      </c>
      <c r="I195" s="26">
        <v>2</v>
      </c>
      <c r="J195" s="29">
        <v>0.05</v>
      </c>
      <c r="K195" s="30">
        <f>(Raw_Data[[#This Row],[Cena jedn. (Price unit)]]-(Raw_Data[[#This Row],[Cena jedn. (Price unit)]]*Raw_Data[[#This Row],[Zniżka (Discount)]]))*Raw_Data[[#This Row],[Ilość (Quant.)]]</f>
        <v>175.79543478260868</v>
      </c>
    </row>
    <row r="196" spans="1:11" hidden="1" x14ac:dyDescent="0.25">
      <c r="A196" s="26" t="s">
        <v>284</v>
      </c>
      <c r="B196" s="27">
        <v>46022</v>
      </c>
      <c r="C196" s="26" t="s">
        <v>360</v>
      </c>
      <c r="D196" s="26" t="s">
        <v>10</v>
      </c>
      <c r="E196" s="26" t="s">
        <v>166</v>
      </c>
      <c r="F196" s="26" t="s">
        <v>17</v>
      </c>
      <c r="G196" s="26" t="s">
        <v>165</v>
      </c>
      <c r="H196" s="28">
        <v>86.328260869565199</v>
      </c>
      <c r="I196" s="26">
        <v>3</v>
      </c>
      <c r="J196" s="29">
        <v>0</v>
      </c>
      <c r="K196" s="30">
        <f>(Raw_Data[[#This Row],[Cena jedn. (Price unit)]]-(Raw_Data[[#This Row],[Cena jedn. (Price unit)]]*Raw_Data[[#This Row],[Zniżka (Discount)]]))*Raw_Data[[#This Row],[Ilość (Quant.)]]</f>
        <v>258.98478260869558</v>
      </c>
    </row>
    <row r="197" spans="1:11" x14ac:dyDescent="0.25">
      <c r="A197" s="26" t="s">
        <v>285</v>
      </c>
      <c r="B197" s="27">
        <v>45756</v>
      </c>
      <c r="C197" s="26" t="s">
        <v>361</v>
      </c>
      <c r="D197" s="26" t="s">
        <v>33</v>
      </c>
      <c r="E197" s="26" t="s">
        <v>173</v>
      </c>
      <c r="F197" s="26" t="s">
        <v>20</v>
      </c>
      <c r="G197" s="26" t="s">
        <v>172</v>
      </c>
      <c r="H197" s="28">
        <v>196.90304347826091</v>
      </c>
      <c r="I197" s="26">
        <v>1</v>
      </c>
      <c r="J197" s="29">
        <v>0</v>
      </c>
      <c r="K197" s="30">
        <f>(Raw_Data[[#This Row],[Cena jedn. (Price unit)]]-(Raw_Data[[#This Row],[Cena jedn. (Price unit)]]*Raw_Data[[#This Row],[Zniżka (Discount)]]))*Raw_Data[[#This Row],[Ilość (Quant.)]]</f>
        <v>196.90304347826091</v>
      </c>
    </row>
    <row r="198" spans="1:11" x14ac:dyDescent="0.25">
      <c r="A198" s="26" t="s">
        <v>286</v>
      </c>
      <c r="B198" s="27">
        <v>46017</v>
      </c>
      <c r="C198" s="26" t="s">
        <v>27</v>
      </c>
      <c r="D198" s="26" t="s">
        <v>10</v>
      </c>
      <c r="E198" s="26" t="s">
        <v>173</v>
      </c>
      <c r="F198" s="26" t="s">
        <v>20</v>
      </c>
      <c r="G198" s="26" t="s">
        <v>172</v>
      </c>
      <c r="H198" s="28">
        <v>30.347142857142856</v>
      </c>
      <c r="I198" s="26">
        <v>5</v>
      </c>
      <c r="J198" s="29">
        <v>0.05</v>
      </c>
      <c r="K198" s="30">
        <f>(Raw_Data[[#This Row],[Cena jedn. (Price unit)]]-(Raw_Data[[#This Row],[Cena jedn. (Price unit)]]*Raw_Data[[#This Row],[Zniżka (Discount)]]))*Raw_Data[[#This Row],[Ilość (Quant.)]]</f>
        <v>144.14892857142857</v>
      </c>
    </row>
    <row r="199" spans="1:11" x14ac:dyDescent="0.25">
      <c r="A199" s="26" t="s">
        <v>287</v>
      </c>
      <c r="B199" s="27">
        <v>45857</v>
      </c>
      <c r="C199" s="26" t="s">
        <v>359</v>
      </c>
      <c r="D199" s="26" t="s">
        <v>10</v>
      </c>
      <c r="E199" s="26" t="s">
        <v>173</v>
      </c>
      <c r="F199" s="26" t="s">
        <v>20</v>
      </c>
      <c r="G199" s="26" t="s">
        <v>172</v>
      </c>
      <c r="H199" s="28">
        <v>136.65434782608696</v>
      </c>
      <c r="I199" s="26">
        <v>1</v>
      </c>
      <c r="J199" s="29">
        <v>0</v>
      </c>
      <c r="K199" s="30">
        <f>(Raw_Data[[#This Row],[Cena jedn. (Price unit)]]-(Raw_Data[[#This Row],[Cena jedn. (Price unit)]]*Raw_Data[[#This Row],[Zniżka (Discount)]]))*Raw_Data[[#This Row],[Ilość (Quant.)]]</f>
        <v>136.65434782608696</v>
      </c>
    </row>
    <row r="200" spans="1:11" x14ac:dyDescent="0.25">
      <c r="A200" s="26" t="s">
        <v>288</v>
      </c>
      <c r="B200" s="27">
        <v>45798</v>
      </c>
      <c r="C200" s="26" t="s">
        <v>363</v>
      </c>
      <c r="D200" s="26" t="s">
        <v>33</v>
      </c>
      <c r="E200" s="26" t="s">
        <v>177</v>
      </c>
      <c r="F200" s="26" t="s">
        <v>14</v>
      </c>
      <c r="G200" s="26" t="s">
        <v>139</v>
      </c>
      <c r="H200" s="28">
        <v>124.34555555555556</v>
      </c>
      <c r="I200" s="26">
        <v>3</v>
      </c>
      <c r="J200" s="29">
        <v>0.05</v>
      </c>
      <c r="K200" s="30">
        <f>(Raw_Data[[#This Row],[Cena jedn. (Price unit)]]-(Raw_Data[[#This Row],[Cena jedn. (Price unit)]]*Raw_Data[[#This Row],[Zniżka (Discount)]]))*Raw_Data[[#This Row],[Ilość (Quant.)]]</f>
        <v>354.38483333333335</v>
      </c>
    </row>
    <row r="201" spans="1:11" x14ac:dyDescent="0.25">
      <c r="A201" s="26" t="s">
        <v>289</v>
      </c>
      <c r="B201" s="27">
        <v>45999</v>
      </c>
      <c r="C201" s="26" t="s">
        <v>364</v>
      </c>
      <c r="D201" s="26" t="s">
        <v>10</v>
      </c>
      <c r="E201" s="26" t="s">
        <v>177</v>
      </c>
      <c r="F201" s="26" t="s">
        <v>14</v>
      </c>
      <c r="G201" s="26" t="s">
        <v>139</v>
      </c>
      <c r="H201" s="28">
        <v>12.238888888888889</v>
      </c>
      <c r="I201" s="26">
        <v>5</v>
      </c>
      <c r="J201" s="29">
        <v>0.2</v>
      </c>
      <c r="K201" s="30">
        <f>(Raw_Data[[#This Row],[Cena jedn. (Price unit)]]-(Raw_Data[[#This Row],[Cena jedn. (Price unit)]]*Raw_Data[[#This Row],[Zniżka (Discount)]]))*Raw_Data[[#This Row],[Ilość (Quant.)]]</f>
        <v>48.955555555555549</v>
      </c>
    </row>
    <row r="202" spans="1:11" s="5" customFormat="1" x14ac:dyDescent="0.25">
      <c r="A202" s="31"/>
      <c r="B202" s="31"/>
      <c r="C202" s="31"/>
      <c r="D202" s="31"/>
      <c r="E202" s="31"/>
      <c r="F202" s="31"/>
      <c r="G202" s="31"/>
      <c r="H202" s="32">
        <f>SUBTOTAL(101,Raw_Data[Cena jedn. (Price unit)])</f>
        <v>148.98105691757013</v>
      </c>
      <c r="I202" s="34">
        <f>SUBTOTAL(109,Raw_Data[Ilość (Quant.)])</f>
        <v>478</v>
      </c>
      <c r="J202" s="33">
        <f>SUBTOTAL(101,Raw_Data[Zniżka (Discount)])</f>
        <v>5.2614379084967279E-2</v>
      </c>
      <c r="K202" s="32">
        <f>SUBTOTAL(101,Raw_Data[Przychód brutto (Revenue)])</f>
        <v>426.67788880031571</v>
      </c>
    </row>
  </sheetData>
  <phoneticPr fontId="1" type="noConversion"/>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DA30-E2F9-4694-86D9-E51E16412A0B}">
  <dimension ref="A1:I202"/>
  <sheetViews>
    <sheetView workbookViewId="0">
      <selection activeCell="G27" sqref="G27"/>
    </sheetView>
  </sheetViews>
  <sheetFormatPr defaultRowHeight="15" x14ac:dyDescent="0.25"/>
  <cols>
    <col min="1" max="1" width="11.85546875" customWidth="1"/>
    <col min="2" max="2" width="12.140625" customWidth="1"/>
    <col min="3" max="3" width="16.140625" customWidth="1"/>
    <col min="4" max="4" width="14.42578125" customWidth="1"/>
    <col min="5" max="5" width="14.28515625" customWidth="1"/>
    <col min="8" max="8" width="10.42578125" style="6" customWidth="1"/>
    <col min="9" max="9" width="15.140625" style="6" bestFit="1" customWidth="1"/>
  </cols>
  <sheetData>
    <row r="1" spans="1:9" ht="30" x14ac:dyDescent="0.25">
      <c r="A1" s="20" t="s">
        <v>380</v>
      </c>
      <c r="B1" s="20" t="s">
        <v>385</v>
      </c>
      <c r="C1" s="20" t="s">
        <v>386</v>
      </c>
      <c r="D1" s="20" t="s">
        <v>389</v>
      </c>
      <c r="E1" s="20" t="s">
        <v>390</v>
      </c>
      <c r="H1" s="8"/>
      <c r="I1" s="8"/>
    </row>
    <row r="2" spans="1:9" x14ac:dyDescent="0.25">
      <c r="A2" s="18" t="s">
        <v>322</v>
      </c>
      <c r="B2" s="17" t="s">
        <v>6</v>
      </c>
      <c r="C2" s="21">
        <f>_xlfn.MINIFS(Raw_Data[Data zamów. (Order date)],Raw_Data[ID klienta (Client ID)],A2)</f>
        <v>45737</v>
      </c>
      <c r="D2" s="22">
        <f>SUMIF(Raw_Data[ID klienta (Client ID)],A2,Raw_Data[Przychód brutto (Revenue)])</f>
        <v>1181.1326666666666</v>
      </c>
      <c r="E2" s="22">
        <f>SUMIF(Raw_Data[ID klienta (Client ID)],A2,Processed_data[Zysk brutto
(Gross profit)])</f>
        <v>228.84599004830915</v>
      </c>
    </row>
    <row r="3" spans="1:9" x14ac:dyDescent="0.25">
      <c r="A3" s="19" t="s">
        <v>336</v>
      </c>
      <c r="B3" s="17" t="s">
        <v>6</v>
      </c>
      <c r="C3" s="21">
        <f>_xlfn.MINIFS(Raw_Data[Data zamów. (Order date)],Raw_Data[ID klienta (Client ID)],A3)</f>
        <v>45686</v>
      </c>
      <c r="D3" s="22">
        <f>SUMIF(Raw_Data[ID klienta (Client ID)],A3,Raw_Data[Przychód brutto (Revenue)])</f>
        <v>4376.2596649413399</v>
      </c>
      <c r="E3" s="22">
        <f>SUMIF(Raw_Data[ID klienta (Client ID)],A3,Processed_data[Zysk brutto
(Gross profit)])</f>
        <v>1127.4478557073849</v>
      </c>
    </row>
    <row r="4" spans="1:9" x14ac:dyDescent="0.25">
      <c r="A4" s="18" t="s">
        <v>348</v>
      </c>
      <c r="B4" s="17" t="s">
        <v>29</v>
      </c>
      <c r="C4" s="21">
        <f>_xlfn.MINIFS(Raw_Data[Data zamów. (Order date)],Raw_Data[ID klienta (Client ID)],A4)</f>
        <v>45665</v>
      </c>
      <c r="D4" s="22">
        <f>SUMIF(Raw_Data[ID klienta (Client ID)],A4,Raw_Data[Przychód brutto (Revenue)])</f>
        <v>565.16075039212001</v>
      </c>
      <c r="E4" s="22">
        <f>SUMIF(Raw_Data[ID klienta (Client ID)],A4,Processed_data[Zysk brutto
(Gross profit)])</f>
        <v>137.39876633414895</v>
      </c>
    </row>
    <row r="5" spans="1:9" x14ac:dyDescent="0.25">
      <c r="A5" s="19" t="s">
        <v>60</v>
      </c>
      <c r="B5" s="17" t="s">
        <v>6</v>
      </c>
      <c r="C5" s="21">
        <f>_xlfn.MINIFS(Raw_Data[Data zamów. (Order date)],Raw_Data[ID klienta (Client ID)],A5)</f>
        <v>45685</v>
      </c>
      <c r="D5" s="22">
        <f>SUMIF(Raw_Data[ID klienta (Client ID)],A5,Raw_Data[Przychód brutto (Revenue)])</f>
        <v>1417.3544903381644</v>
      </c>
      <c r="E5" s="22">
        <f>SUMIF(Raw_Data[ID klienta (Client ID)],A5,Processed_data[Zysk brutto
(Gross profit)])</f>
        <v>213.08835328502423</v>
      </c>
    </row>
    <row r="6" spans="1:9" x14ac:dyDescent="0.25">
      <c r="A6" s="18" t="s">
        <v>82</v>
      </c>
      <c r="B6" s="17" t="s">
        <v>6</v>
      </c>
      <c r="C6" s="21">
        <f>_xlfn.MINIFS(Raw_Data[Data zamów. (Order date)],Raw_Data[ID klienta (Client ID)],A6)</f>
        <v>45797</v>
      </c>
      <c r="D6" s="22">
        <f>SUMIF(Raw_Data[ID klienta (Client ID)],A6,Raw_Data[Przychód brutto (Revenue)])</f>
        <v>1486.2009937888197</v>
      </c>
      <c r="E6" s="22">
        <f>SUMIF(Raw_Data[ID klienta (Client ID)],A6,Processed_data[Zysk brutto
(Gross profit)])</f>
        <v>322.78927453416145</v>
      </c>
    </row>
    <row r="7" spans="1:9" x14ac:dyDescent="0.25">
      <c r="A7" s="19" t="s">
        <v>137</v>
      </c>
      <c r="B7" s="17" t="s">
        <v>29</v>
      </c>
      <c r="C7" s="21">
        <f>_xlfn.MINIFS(Raw_Data[Data zamów. (Order date)],Raw_Data[ID klienta (Client ID)],A7)</f>
        <v>45735</v>
      </c>
      <c r="D7" s="22">
        <f>SUMIF(Raw_Data[ID klienta (Client ID)],A7,Raw_Data[Przychód brutto (Revenue)])</f>
        <v>2225.9973398895791</v>
      </c>
      <c r="E7" s="22">
        <f>SUMIF(Raw_Data[ID klienta (Client ID)],A7,Processed_data[Zysk brutto
(Gross profit)])</f>
        <v>377.31246063492068</v>
      </c>
    </row>
    <row r="8" spans="1:9" x14ac:dyDescent="0.25">
      <c r="A8" s="18" t="s">
        <v>173</v>
      </c>
      <c r="B8" s="17" t="s">
        <v>6</v>
      </c>
      <c r="C8" s="21">
        <f>_xlfn.MINIFS(Raw_Data[Data zamów. (Order date)],Raw_Data[ID klienta (Client ID)],A8)</f>
        <v>45756</v>
      </c>
      <c r="D8" s="22">
        <f>SUMIF(Raw_Data[ID klienta (Client ID)],A8,Raw_Data[Przychód brutto (Revenue)])</f>
        <v>477.70631987577644</v>
      </c>
      <c r="E8" s="22">
        <f>SUMIF(Raw_Data[ID klienta (Client ID)],A8,Processed_data[Zysk brutto
(Gross profit)])</f>
        <v>129.00992670807457</v>
      </c>
    </row>
    <row r="9" spans="1:9" x14ac:dyDescent="0.25">
      <c r="A9" s="19" t="s">
        <v>65</v>
      </c>
      <c r="B9" s="17" t="s">
        <v>6</v>
      </c>
      <c r="C9" s="21">
        <f>_xlfn.MINIFS(Raw_Data[Data zamów. (Order date)],Raw_Data[ID klienta (Client ID)],A9)</f>
        <v>45696</v>
      </c>
      <c r="D9" s="22">
        <f>SUMIF(Raw_Data[ID klienta (Client ID)],A9,Raw_Data[Przychód brutto (Revenue)])</f>
        <v>508.14191941150631</v>
      </c>
      <c r="E9" s="22">
        <f>SUMIF(Raw_Data[ID klienta (Client ID)],A9,Processed_data[Zysk brutto
(Gross profit)])</f>
        <v>82.094209595959555</v>
      </c>
    </row>
    <row r="10" spans="1:9" x14ac:dyDescent="0.25">
      <c r="A10" s="19" t="s">
        <v>352</v>
      </c>
      <c r="B10" s="17" t="s">
        <v>29</v>
      </c>
      <c r="C10" s="21">
        <f>_xlfn.MINIFS(Raw_Data[Data zamów. (Order date)],Raw_Data[ID klienta (Client ID)],A10)</f>
        <v>45784</v>
      </c>
      <c r="D10" s="22">
        <f>SUMIF(Raw_Data[ID klienta (Client ID)],A10,Raw_Data[Przychód brutto (Revenue)])</f>
        <v>1475.3017453416151</v>
      </c>
      <c r="E10" s="22">
        <f>SUMIF(Raw_Data[ID klienta (Client ID)],A10,Processed_data[Zysk brutto
(Gross profit)])</f>
        <v>500.30743428571429</v>
      </c>
    </row>
    <row r="11" spans="1:9" x14ac:dyDescent="0.25">
      <c r="A11" s="19" t="s">
        <v>91</v>
      </c>
      <c r="B11" s="17" t="s">
        <v>6</v>
      </c>
      <c r="C11" s="21">
        <f>_xlfn.MINIFS(Raw_Data[Data zamów. (Order date)],Raw_Data[ID klienta (Client ID)],A11)</f>
        <v>45855</v>
      </c>
      <c r="D11" s="22">
        <f>SUMIF(Raw_Data[ID klienta (Client ID)],A11,Raw_Data[Przychód brutto (Revenue)])</f>
        <v>3369.4907970073405</v>
      </c>
      <c r="E11" s="22">
        <f>SUMIF(Raw_Data[ID klienta (Client ID)],A11,Processed_data[Zysk brutto
(Gross profit)])</f>
        <v>921.88289038961045</v>
      </c>
    </row>
    <row r="12" spans="1:9" x14ac:dyDescent="0.25">
      <c r="A12" s="18" t="s">
        <v>18</v>
      </c>
      <c r="B12" s="17" t="s">
        <v>6</v>
      </c>
      <c r="C12" s="21">
        <f>_xlfn.MINIFS(Raw_Data[Data zamów. (Order date)],Raw_Data[ID klienta (Client ID)],A12)</f>
        <v>45704</v>
      </c>
      <c r="D12" s="22">
        <f>SUMIF(Raw_Data[ID klienta (Client ID)],A12,Raw_Data[Przychód brutto (Revenue)])</f>
        <v>2555.2515465838505</v>
      </c>
      <c r="E12" s="22">
        <f>SUMIF(Raw_Data[ID klienta (Client ID)],A12,Processed_data[Zysk brutto
(Gross profit)])</f>
        <v>672.2443428571429</v>
      </c>
    </row>
    <row r="13" spans="1:9" x14ac:dyDescent="0.25">
      <c r="A13" s="18" t="s">
        <v>300</v>
      </c>
      <c r="B13" s="17" t="s">
        <v>6</v>
      </c>
      <c r="C13" s="21">
        <f>_xlfn.MINIFS(Raw_Data[Data zamów. (Order date)],Raw_Data[ID klienta (Client ID)],A13)</f>
        <v>45805</v>
      </c>
      <c r="D13" s="22">
        <f>SUMIF(Raw_Data[ID klienta (Client ID)],A13,Raw_Data[Przychód brutto (Revenue)])</f>
        <v>382.6797439613527</v>
      </c>
      <c r="E13" s="22">
        <f>SUMIF(Raw_Data[ID klienta (Client ID)],A13,Processed_data[Zysk brutto
(Gross profit)])</f>
        <v>79.540239130434827</v>
      </c>
    </row>
    <row r="14" spans="1:9" x14ac:dyDescent="0.25">
      <c r="A14" s="19" t="s">
        <v>44</v>
      </c>
      <c r="B14" s="17" t="s">
        <v>6</v>
      </c>
      <c r="C14" s="21">
        <f>_xlfn.MINIFS(Raw_Data[Data zamów. (Order date)],Raw_Data[ID klienta (Client ID)],A14)</f>
        <v>45814</v>
      </c>
      <c r="D14" s="22">
        <f>SUMIF(Raw_Data[ID klienta (Client ID)],A14,Raw_Data[Przychód brutto (Revenue)])</f>
        <v>906.01476708074529</v>
      </c>
      <c r="E14" s="22">
        <f>SUMIF(Raw_Data[ID klienta (Client ID)],A14,Processed_data[Zysk brutto
(Gross profit)])</f>
        <v>233.07290993788814</v>
      </c>
    </row>
    <row r="15" spans="1:9" x14ac:dyDescent="0.25">
      <c r="A15" s="19" t="s">
        <v>346</v>
      </c>
      <c r="B15" s="17" t="s">
        <v>29</v>
      </c>
      <c r="C15" s="21">
        <f>_xlfn.MINIFS(Raw_Data[Data zamów. (Order date)],Raw_Data[ID klienta (Client ID)],A15)</f>
        <v>45956</v>
      </c>
      <c r="D15" s="22">
        <f>SUMIF(Raw_Data[ID klienta (Client ID)],A15,Raw_Data[Przychód brutto (Revenue)])</f>
        <v>86.96054347826086</v>
      </c>
      <c r="E15" s="22">
        <f>SUMIF(Raw_Data[ID klienta (Client ID)],A15,Processed_data[Zysk brutto
(Gross profit)])</f>
        <v>8.2644891304347734</v>
      </c>
    </row>
    <row r="16" spans="1:9" x14ac:dyDescent="0.25">
      <c r="A16" s="18" t="s">
        <v>70</v>
      </c>
      <c r="B16" s="17" t="s">
        <v>29</v>
      </c>
      <c r="C16" s="21">
        <f>_xlfn.MINIFS(Raw_Data[Data zamów. (Order date)],Raw_Data[ID klienta (Client ID)],A16)</f>
        <v>45687</v>
      </c>
      <c r="D16" s="22">
        <f>SUMIF(Raw_Data[ID klienta (Client ID)],A16,Raw_Data[Przychód brutto (Revenue)])</f>
        <v>2668.7296894409938</v>
      </c>
      <c r="E16" s="22">
        <f>SUMIF(Raw_Data[ID klienta (Client ID)],A16,Processed_data[Zysk brutto
(Gross profit)])</f>
        <v>856.91506335403722</v>
      </c>
    </row>
    <row r="17" spans="1:5" x14ac:dyDescent="0.25">
      <c r="A17" s="19" t="s">
        <v>124</v>
      </c>
      <c r="B17" s="17" t="s">
        <v>29</v>
      </c>
      <c r="C17" s="21">
        <f>_xlfn.MINIFS(Raw_Data[Data zamów. (Order date)],Raw_Data[ID klienta (Client ID)],A17)</f>
        <v>45720</v>
      </c>
      <c r="D17" s="22">
        <f>SUMIF(Raw_Data[ID klienta (Client ID)],A17,Raw_Data[Przychód brutto (Revenue)])</f>
        <v>3729.0529813664598</v>
      </c>
      <c r="E17" s="22">
        <f>SUMIF(Raw_Data[ID klienta (Client ID)],A17,Processed_data[Zysk brutto
(Gross profit)])</f>
        <v>1159.1679071428573</v>
      </c>
    </row>
    <row r="18" spans="1:5" x14ac:dyDescent="0.25">
      <c r="A18" s="18" t="s">
        <v>166</v>
      </c>
      <c r="B18" s="17" t="s">
        <v>6</v>
      </c>
      <c r="C18" s="21">
        <f>_xlfn.MINIFS(Raw_Data[Data zamów. (Order date)],Raw_Data[ID klienta (Client ID)],A18)</f>
        <v>45697</v>
      </c>
      <c r="D18" s="22">
        <f>SUMIF(Raw_Data[ID klienta (Client ID)],A18,Raw_Data[Przychód brutto (Revenue)])</f>
        <v>3246.4854121964995</v>
      </c>
      <c r="E18" s="22">
        <f>SUMIF(Raw_Data[ID klienta (Client ID)],A18,Processed_data[Zysk brutto
(Gross profit)])</f>
        <v>1103.0291863354039</v>
      </c>
    </row>
    <row r="19" spans="1:5" x14ac:dyDescent="0.25">
      <c r="A19" s="19" t="s">
        <v>177</v>
      </c>
      <c r="B19" s="17" t="s">
        <v>29</v>
      </c>
      <c r="C19" s="21">
        <f>_xlfn.MINIFS(Raw_Data[Data zamów. (Order date)],Raw_Data[ID klienta (Client ID)],A19)</f>
        <v>45715</v>
      </c>
      <c r="D19" s="22">
        <f>SUMIF(Raw_Data[ID klienta (Client ID)],A19,Raw_Data[Przychód brutto (Revenue)])</f>
        <v>526.76415700483096</v>
      </c>
      <c r="E19" s="22">
        <f>SUMIF(Raw_Data[ID klienta (Client ID)],A19,Processed_data[Zysk brutto
(Gross profit)])</f>
        <v>274.53077149758451</v>
      </c>
    </row>
    <row r="20" spans="1:5" x14ac:dyDescent="0.25">
      <c r="A20" s="18" t="s">
        <v>36</v>
      </c>
      <c r="B20" s="17" t="s">
        <v>6</v>
      </c>
      <c r="C20" s="21">
        <f>_xlfn.MINIFS(Raw_Data[Data zamów. (Order date)],Raw_Data[ID klienta (Client ID)],A20)</f>
        <v>45673</v>
      </c>
      <c r="D20" s="22">
        <f>SUMIF(Raw_Data[ID klienta (Client ID)],A20,Raw_Data[Przychód brutto (Revenue)])</f>
        <v>4996.3848658949746</v>
      </c>
      <c r="E20" s="22">
        <f>SUMIF(Raw_Data[ID klienta (Client ID)],A20,Processed_data[Zysk brutto
(Gross profit)])</f>
        <v>1281.5940131564084</v>
      </c>
    </row>
    <row r="21" spans="1:5" x14ac:dyDescent="0.25">
      <c r="A21" s="19" t="s">
        <v>330</v>
      </c>
      <c r="B21" s="17" t="s">
        <v>29</v>
      </c>
      <c r="C21" s="21">
        <f>_xlfn.MINIFS(Raw_Data[Data zamów. (Order date)],Raw_Data[ID klienta (Client ID)],A21)</f>
        <v>45849</v>
      </c>
      <c r="D21" s="22">
        <f>SUMIF(Raw_Data[ID klienta (Client ID)],A21,Raw_Data[Przychód brutto (Revenue)])</f>
        <v>1928.0281021394067</v>
      </c>
      <c r="E21" s="22">
        <f>SUMIF(Raw_Data[ID klienta (Client ID)],A21,Processed_data[Zysk brutto
(Gross profit)])</f>
        <v>806.97039972394771</v>
      </c>
    </row>
    <row r="22" spans="1:5" x14ac:dyDescent="0.25">
      <c r="A22" s="18" t="s">
        <v>107</v>
      </c>
      <c r="B22" s="17" t="s">
        <v>6</v>
      </c>
      <c r="C22" s="21">
        <f>_xlfn.MINIFS(Raw_Data[Data zamów. (Order date)],Raw_Data[ID klienta (Client ID)],A22)</f>
        <v>45778</v>
      </c>
      <c r="D22" s="22">
        <f>SUMIF(Raw_Data[ID klienta (Client ID)],A22,Raw_Data[Przychód brutto (Revenue)])</f>
        <v>703.82254150197627</v>
      </c>
      <c r="E22" s="22">
        <f>SUMIF(Raw_Data[ID klienta (Client ID)],A22,Processed_data[Zysk brutto
(Gross profit)])</f>
        <v>105.20265652173913</v>
      </c>
    </row>
    <row r="23" spans="1:5" x14ac:dyDescent="0.25">
      <c r="A23" s="19" t="s">
        <v>298</v>
      </c>
      <c r="B23" s="17" t="s">
        <v>29</v>
      </c>
      <c r="C23" s="21">
        <f>_xlfn.MINIFS(Raw_Data[Data zamów. (Order date)],Raw_Data[ID klienta (Client ID)],A23)</f>
        <v>45736</v>
      </c>
      <c r="D23" s="22">
        <f>SUMIF(Raw_Data[ID klienta (Client ID)],A23,Raw_Data[Przychód brutto (Revenue)])</f>
        <v>1585.728784271284</v>
      </c>
      <c r="E23" s="22">
        <f>SUMIF(Raw_Data[ID klienta (Client ID)],A23,Processed_data[Zysk brutto
(Gross profit)])</f>
        <v>540.32332779220758</v>
      </c>
    </row>
    <row r="24" spans="1:5" x14ac:dyDescent="0.25">
      <c r="A24" s="18" t="s">
        <v>308</v>
      </c>
      <c r="B24" s="17" t="s">
        <v>6</v>
      </c>
      <c r="C24" s="21">
        <f>_xlfn.MINIFS(Raw_Data[Data zamów. (Order date)],Raw_Data[ID klienta (Client ID)],A24)</f>
        <v>45725</v>
      </c>
      <c r="D24" s="22">
        <f>SUMIF(Raw_Data[ID klienta (Client ID)],A24,Raw_Data[Przychód brutto (Revenue)])</f>
        <v>52.104545454545459</v>
      </c>
      <c r="E24" s="22">
        <f>SUMIF(Raw_Data[ID klienta (Client ID)],A24,Processed_data[Zysk brutto
(Gross profit)])</f>
        <v>25.104545454545459</v>
      </c>
    </row>
    <row r="25" spans="1:5" x14ac:dyDescent="0.25">
      <c r="A25" s="19" t="s">
        <v>350</v>
      </c>
      <c r="B25" s="17" t="s">
        <v>6</v>
      </c>
      <c r="C25" s="21">
        <f>_xlfn.MINIFS(Raw_Data[Data zamów. (Order date)],Raw_Data[ID klienta (Client ID)],A25)</f>
        <v>45711</v>
      </c>
      <c r="D25" s="22">
        <f>SUMIF(Raw_Data[ID klienta (Client ID)],A25,Raw_Data[Przychód brutto (Revenue)])</f>
        <v>645.42049062049068</v>
      </c>
      <c r="E25" s="22">
        <f>SUMIF(Raw_Data[ID klienta (Client ID)],A25,Processed_data[Zysk brutto
(Gross profit)])</f>
        <v>249.09196681096685</v>
      </c>
    </row>
    <row r="26" spans="1:5" x14ac:dyDescent="0.25">
      <c r="A26" s="18" t="s">
        <v>190</v>
      </c>
      <c r="B26" s="17" t="s">
        <v>6</v>
      </c>
      <c r="C26" s="21">
        <f>_xlfn.MINIFS(Raw_Data[Data zamów. (Order date)],Raw_Data[ID klienta (Client ID)],A26)</f>
        <v>45676</v>
      </c>
      <c r="D26" s="22">
        <f>SUMIF(Raw_Data[ID klienta (Client ID)],A26,Raw_Data[Przychód brutto (Revenue)])</f>
        <v>2584.3607792207799</v>
      </c>
      <c r="E26" s="22">
        <f>SUMIF(Raw_Data[ID klienta (Client ID)],A26,Processed_data[Zysk brutto
(Gross profit)])</f>
        <v>709.38681766233799</v>
      </c>
    </row>
    <row r="27" spans="1:5" x14ac:dyDescent="0.25">
      <c r="A27" s="19" t="s">
        <v>207</v>
      </c>
      <c r="B27" s="17" t="s">
        <v>6</v>
      </c>
      <c r="C27" s="21">
        <f>_xlfn.MINIFS(Raw_Data[Data zamów. (Order date)],Raw_Data[ID klienta (Client ID)],A27)</f>
        <v>45794</v>
      </c>
      <c r="D27" s="22">
        <f>SUMIF(Raw_Data[ID klienta (Client ID)],A27,Raw_Data[Przychód brutto (Revenue)])</f>
        <v>443.49827272727271</v>
      </c>
      <c r="E27" s="22">
        <f>SUMIF(Raw_Data[ID klienta (Client ID)],A27,Processed_data[Zysk brutto
(Gross profit)])</f>
        <v>208.34009090909086</v>
      </c>
    </row>
    <row r="28" spans="1:5" x14ac:dyDescent="0.25">
      <c r="A28" s="18" t="s">
        <v>291</v>
      </c>
      <c r="B28" s="17" t="s">
        <v>29</v>
      </c>
      <c r="C28" s="21">
        <f>_xlfn.MINIFS(Raw_Data[Data zamów. (Order date)],Raw_Data[ID klienta (Client ID)],A28)</f>
        <v>45665</v>
      </c>
      <c r="D28" s="22">
        <f>SUMIF(Raw_Data[ID klienta (Client ID)],A28,Raw_Data[Przychód brutto (Revenue)])</f>
        <v>993.25438888888891</v>
      </c>
      <c r="E28" s="22">
        <f>SUMIF(Raw_Data[ID klienta (Client ID)],A28,Processed_data[Zysk brutto
(Gross profit)])</f>
        <v>526.46311858585864</v>
      </c>
    </row>
    <row r="29" spans="1:5" x14ac:dyDescent="0.25">
      <c r="A29" s="19" t="s">
        <v>334</v>
      </c>
      <c r="B29" s="17" t="s">
        <v>6</v>
      </c>
      <c r="C29" s="21">
        <f>_xlfn.MINIFS(Raw_Data[Data zamów. (Order date)],Raw_Data[ID klienta (Client ID)],A29)</f>
        <v>45866</v>
      </c>
      <c r="D29" s="22">
        <f>SUMIF(Raw_Data[ID klienta (Client ID)],A29,Raw_Data[Przychód brutto (Revenue)])</f>
        <v>336.89405194805198</v>
      </c>
      <c r="E29" s="22">
        <f>SUMIF(Raw_Data[ID klienta (Client ID)],A29,Processed_data[Zysk brutto
(Gross profit)])</f>
        <v>132.96476103896106</v>
      </c>
    </row>
    <row r="30" spans="1:5" x14ac:dyDescent="0.25">
      <c r="A30" s="19" t="s">
        <v>183</v>
      </c>
      <c r="B30" s="17" t="s">
        <v>6</v>
      </c>
      <c r="C30" s="21">
        <f>_xlfn.MINIFS(Raw_Data[Data zamów. (Order date)],Raw_Data[ID klienta (Client ID)],A30)</f>
        <v>45753</v>
      </c>
      <c r="D30" s="22">
        <f>SUMIF(Raw_Data[ID klienta (Client ID)],A30,Raw_Data[Przychód brutto (Revenue)])</f>
        <v>1625.4917669552669</v>
      </c>
      <c r="E30" s="22">
        <f>SUMIF(Raw_Data[ID klienta (Client ID)],A30,Processed_data[Zysk brutto
(Gross profit)])</f>
        <v>576.88506401154405</v>
      </c>
    </row>
    <row r="31" spans="1:5" x14ac:dyDescent="0.25">
      <c r="A31" s="18" t="s">
        <v>314</v>
      </c>
      <c r="B31" s="17" t="s">
        <v>6</v>
      </c>
      <c r="C31" s="21">
        <f>_xlfn.MINIFS(Raw_Data[Data zamów. (Order date)],Raw_Data[ID klienta (Client ID)],A31)</f>
        <v>45857</v>
      </c>
      <c r="D31" s="22">
        <f>SUMIF(Raw_Data[ID klienta (Client ID)],A31,Raw_Data[Przychód brutto (Revenue)])</f>
        <v>115.59545454545457</v>
      </c>
      <c r="E31" s="22">
        <f>SUMIF(Raw_Data[ID klienta (Client ID)],A31,Processed_data[Zysk brutto
(Gross profit)])</f>
        <v>55.595454545454572</v>
      </c>
    </row>
    <row r="32" spans="1:5" x14ac:dyDescent="0.25">
      <c r="A32" s="19" t="s">
        <v>354</v>
      </c>
      <c r="B32" s="17" t="s">
        <v>6</v>
      </c>
      <c r="C32" s="21">
        <f>_xlfn.MINIFS(Raw_Data[Data zamów. (Order date)],Raw_Data[ID klienta (Client ID)],A32)</f>
        <v>45664</v>
      </c>
      <c r="D32" s="22">
        <f>SUMIF(Raw_Data[ID klienta (Client ID)],A32,Raw_Data[Przychód brutto (Revenue)])</f>
        <v>1456.0306818181818</v>
      </c>
      <c r="E32" s="22">
        <f>SUMIF(Raw_Data[ID klienta (Client ID)],A32,Processed_data[Zysk brutto
(Gross profit)])</f>
        <v>497.77370935064948</v>
      </c>
    </row>
    <row r="33" spans="1:5" x14ac:dyDescent="0.25">
      <c r="A33" s="18" t="s">
        <v>96</v>
      </c>
      <c r="B33" s="17" t="s">
        <v>29</v>
      </c>
      <c r="C33" s="21">
        <f>_xlfn.MINIFS(Raw_Data[Data zamów. (Order date)],Raw_Data[ID klienta (Client ID)],A33)</f>
        <v>45748</v>
      </c>
      <c r="D33" s="22">
        <f>SUMIF(Raw_Data[ID klienta (Client ID)],A33,Raw_Data[Przychód brutto (Revenue)])</f>
        <v>536.14970346320342</v>
      </c>
      <c r="E33" s="22">
        <f>SUMIF(Raw_Data[ID klienta (Client ID)],A33,Processed_data[Zysk brutto
(Gross profit)])</f>
        <v>236.98893298701302</v>
      </c>
    </row>
    <row r="34" spans="1:5" x14ac:dyDescent="0.25">
      <c r="A34" s="18" t="s">
        <v>332</v>
      </c>
      <c r="B34" s="17" t="s">
        <v>6</v>
      </c>
      <c r="C34" s="21">
        <f>_xlfn.MINIFS(Raw_Data[Data zamów. (Order date)],Raw_Data[ID klienta (Client ID)],A34)</f>
        <v>45665</v>
      </c>
      <c r="D34" s="22">
        <f>SUMIF(Raw_Data[ID klienta (Client ID)],A34,Raw_Data[Przychód brutto (Revenue)])</f>
        <v>250.73889898989898</v>
      </c>
      <c r="E34" s="22">
        <f>SUMIF(Raw_Data[ID klienta (Client ID)],A34,Processed_data[Zysk brutto
(Gross profit)])</f>
        <v>108.305298989899</v>
      </c>
    </row>
    <row r="35" spans="1:5" x14ac:dyDescent="0.25">
      <c r="A35" s="18" t="s">
        <v>77</v>
      </c>
      <c r="B35" s="17" t="s">
        <v>6</v>
      </c>
      <c r="C35" s="21">
        <f>_xlfn.MINIFS(Raw_Data[Data zamów. (Order date)],Raw_Data[ID klienta (Client ID)],A35)</f>
        <v>45711</v>
      </c>
      <c r="D35" s="22">
        <f>SUMIF(Raw_Data[ID klienta (Client ID)],A35,Raw_Data[Przychód brutto (Revenue)])</f>
        <v>860.35159740259746</v>
      </c>
      <c r="E35" s="22">
        <f>SUMIF(Raw_Data[ID klienta (Client ID)],A35,Processed_data[Zysk brutto
(Gross profit)])</f>
        <v>205.6116914285715</v>
      </c>
    </row>
    <row r="36" spans="1:5" x14ac:dyDescent="0.25">
      <c r="A36" s="19" t="s">
        <v>143</v>
      </c>
      <c r="B36" s="17" t="s">
        <v>6</v>
      </c>
      <c r="C36" s="21">
        <f>_xlfn.MINIFS(Raw_Data[Data zamów. (Order date)],Raw_Data[ID klienta (Client ID)],A36)</f>
        <v>45712</v>
      </c>
      <c r="D36" s="22">
        <f>SUMIF(Raw_Data[ID klienta (Client ID)],A36,Raw_Data[Przychód brutto (Revenue)])</f>
        <v>2261.0028564213567</v>
      </c>
      <c r="E36" s="22">
        <f>SUMIF(Raw_Data[ID klienta (Client ID)],A36,Processed_data[Zysk brutto
(Gross profit)])</f>
        <v>794.18023616161622</v>
      </c>
    </row>
    <row r="37" spans="1:5" x14ac:dyDescent="0.25">
      <c r="A37" s="19" t="s">
        <v>200</v>
      </c>
      <c r="B37" s="17" t="s">
        <v>29</v>
      </c>
      <c r="C37" s="21">
        <f>_xlfn.MINIFS(Raw_Data[Data zamów. (Order date)],Raw_Data[ID klienta (Client ID)],A37)</f>
        <v>45670</v>
      </c>
      <c r="D37" s="22">
        <f>SUMIF(Raw_Data[ID klienta (Client ID)],A37,Raw_Data[Przychód brutto (Revenue)])</f>
        <v>2527.1568174603176</v>
      </c>
      <c r="E37" s="22">
        <f>SUMIF(Raw_Data[ID klienta (Client ID)],A37,Processed_data[Zysk brutto
(Gross profit)])</f>
        <v>765.42625650793661</v>
      </c>
    </row>
    <row r="38" spans="1:5" x14ac:dyDescent="0.25">
      <c r="A38" s="18" t="s">
        <v>293</v>
      </c>
      <c r="B38" s="17" t="s">
        <v>6</v>
      </c>
      <c r="C38" s="21">
        <f>_xlfn.MINIFS(Raw_Data[Data zamów. (Order date)],Raw_Data[ID klienta (Client ID)],A38)</f>
        <v>45813</v>
      </c>
      <c r="D38" s="22">
        <f>SUMIF(Raw_Data[ID klienta (Client ID)],A38,Raw_Data[Przychód brutto (Revenue)])</f>
        <v>556.30800793650792</v>
      </c>
      <c r="E38" s="22">
        <f>SUMIF(Raw_Data[ID klienta (Client ID)],A38,Processed_data[Zysk brutto
(Gross profit)])</f>
        <v>274.42454047619049</v>
      </c>
    </row>
    <row r="39" spans="1:5" x14ac:dyDescent="0.25">
      <c r="A39" s="18" t="s">
        <v>312</v>
      </c>
      <c r="B39" s="17" t="s">
        <v>29</v>
      </c>
      <c r="C39" s="21">
        <f>_xlfn.MINIFS(Raw_Data[Data zamów. (Order date)],Raw_Data[ID klienta (Client ID)],A39)</f>
        <v>45678</v>
      </c>
      <c r="D39" s="22">
        <f>SUMIF(Raw_Data[ID klienta (Client ID)],A39,Raw_Data[Przychód brutto (Revenue)])</f>
        <v>402.38555555555558</v>
      </c>
      <c r="E39" s="22">
        <f>SUMIF(Raw_Data[ID klienta (Client ID)],A39,Processed_data[Zysk brutto
(Gross profit)])</f>
        <v>237.24408888888891</v>
      </c>
    </row>
    <row r="40" spans="1:5" x14ac:dyDescent="0.25">
      <c r="A40" s="19" t="s">
        <v>328</v>
      </c>
      <c r="B40" s="17" t="s">
        <v>6</v>
      </c>
      <c r="C40" s="21">
        <f>_xlfn.MINIFS(Raw_Data[Data zamów. (Order date)],Raw_Data[ID klienta (Client ID)],A40)</f>
        <v>45963</v>
      </c>
      <c r="D40" s="22">
        <f>SUMIF(Raw_Data[ID klienta (Client ID)],A40,Raw_Data[Przychód brutto (Revenue)])</f>
        <v>298.71555555555562</v>
      </c>
      <c r="E40" s="22">
        <f>SUMIF(Raw_Data[ID klienta (Client ID)],A40,Processed_data[Zysk brutto
(Gross profit)])</f>
        <v>168.84400000000005</v>
      </c>
    </row>
    <row r="41" spans="1:5" x14ac:dyDescent="0.25">
      <c r="A41" s="19" t="s">
        <v>344</v>
      </c>
      <c r="B41" s="17" t="s">
        <v>6</v>
      </c>
      <c r="C41" s="21">
        <f>_xlfn.MINIFS(Raw_Data[Data zamów. (Order date)],Raw_Data[ID klienta (Client ID)],A41)</f>
        <v>45722</v>
      </c>
      <c r="D41" s="22">
        <f>SUMIF(Raw_Data[ID klienta (Client ID)],A41,Raw_Data[Przychód brutto (Revenue)])</f>
        <v>123.80222222222223</v>
      </c>
      <c r="E41" s="22">
        <f>SUMIF(Raw_Data[ID klienta (Client ID)],A41,Processed_data[Zysk brutto
(Gross profit)])</f>
        <v>61.422000000000004</v>
      </c>
    </row>
    <row r="42" spans="1:5" x14ac:dyDescent="0.25">
      <c r="A42" s="18" t="s">
        <v>5</v>
      </c>
      <c r="B42" s="17" t="s">
        <v>6</v>
      </c>
      <c r="C42" s="21">
        <f>_xlfn.MINIFS(Raw_Data[Data zamów. (Order date)],Raw_Data[ID klienta (Client ID)],A42)</f>
        <v>45671</v>
      </c>
      <c r="D42" s="22">
        <f>SUMIF(Raw_Data[ID klienta (Client ID)],A42,Raw_Data[Przychód brutto (Revenue)])</f>
        <v>3348.8451111111117</v>
      </c>
      <c r="E42" s="22">
        <f>SUMIF(Raw_Data[ID klienta (Client ID)],A42,Processed_data[Zysk brutto
(Gross profit)])</f>
        <v>1117.5775806349211</v>
      </c>
    </row>
    <row r="43" spans="1:5" x14ac:dyDescent="0.25">
      <c r="A43" s="19" t="s">
        <v>87</v>
      </c>
      <c r="B43" s="17" t="s">
        <v>29</v>
      </c>
      <c r="C43" s="21">
        <f>_xlfn.MINIFS(Raw_Data[Data zamów. (Order date)],Raw_Data[ID klienta (Client ID)],A43)</f>
        <v>45758</v>
      </c>
      <c r="D43" s="22">
        <f>SUMIF(Raw_Data[ID klienta (Client ID)],A43,Raw_Data[Przychód brutto (Revenue)])</f>
        <v>256.05507142857141</v>
      </c>
      <c r="E43" s="22">
        <f>SUMIF(Raw_Data[ID klienta (Client ID)],A43,Processed_data[Zysk brutto
(Gross profit)])</f>
        <v>124.44139285714286</v>
      </c>
    </row>
    <row r="44" spans="1:5" x14ac:dyDescent="0.25">
      <c r="A44" s="19" t="s">
        <v>112</v>
      </c>
      <c r="B44" s="17" t="s">
        <v>6</v>
      </c>
      <c r="C44" s="21">
        <f>_xlfn.MINIFS(Raw_Data[Data zamów. (Order date)],Raw_Data[ID klienta (Client ID)],A44)</f>
        <v>45708</v>
      </c>
      <c r="D44" s="22">
        <f>SUMIF(Raw_Data[ID klienta (Client ID)],A44,Raw_Data[Przychód brutto (Revenue)])</f>
        <v>2142.7121507936508</v>
      </c>
      <c r="E44" s="22">
        <f>SUMIF(Raw_Data[ID klienta (Client ID)],A44,Processed_data[Zysk brutto
(Gross profit)])</f>
        <v>470.99878000000001</v>
      </c>
    </row>
    <row r="45" spans="1:5" x14ac:dyDescent="0.25">
      <c r="A45" s="18" t="s">
        <v>155</v>
      </c>
      <c r="B45" s="17" t="s">
        <v>6</v>
      </c>
      <c r="C45" s="21">
        <f>_xlfn.MINIFS(Raw_Data[Data zamów. (Order date)],Raw_Data[ID klienta (Client ID)],A45)</f>
        <v>45805</v>
      </c>
      <c r="D45" s="22">
        <f>SUMIF(Raw_Data[ID klienta (Client ID)],A45,Raw_Data[Przychód brutto (Revenue)])</f>
        <v>5117.2976190476193</v>
      </c>
      <c r="E45" s="22">
        <f>SUMIF(Raw_Data[ID klienta (Client ID)],A45,Processed_data[Zysk brutto
(Gross profit)])</f>
        <v>1419.2889714285716</v>
      </c>
    </row>
    <row r="46" spans="1:5" x14ac:dyDescent="0.25">
      <c r="A46" s="19" t="s">
        <v>295</v>
      </c>
      <c r="B46" s="17" t="s">
        <v>6</v>
      </c>
      <c r="C46" s="21">
        <f>_xlfn.MINIFS(Raw_Data[Data zamów. (Order date)],Raw_Data[ID klienta (Client ID)],A46)</f>
        <v>45684</v>
      </c>
      <c r="D46" s="22">
        <f>SUMIF(Raw_Data[ID klienta (Client ID)],A46,Raw_Data[Przychód brutto (Revenue)])</f>
        <v>4472.36546031746</v>
      </c>
      <c r="E46" s="22">
        <f>SUMIF(Raw_Data[ID klienta (Client ID)],A46,Processed_data[Zysk brutto
(Gross profit)])</f>
        <v>1171.1225263492056</v>
      </c>
    </row>
    <row r="47" spans="1:5" x14ac:dyDescent="0.25">
      <c r="A47" s="18" t="s">
        <v>310</v>
      </c>
      <c r="B47" s="17" t="s">
        <v>29</v>
      </c>
      <c r="C47" s="21">
        <f>_xlfn.MINIFS(Raw_Data[Data zamów. (Order date)],Raw_Data[ID klienta (Client ID)],A47)</f>
        <v>45869</v>
      </c>
      <c r="D47" s="22">
        <f>SUMIF(Raw_Data[ID klienta (Client ID)],A47,Raw_Data[Przychód brutto (Revenue)])</f>
        <v>14.688055555555554</v>
      </c>
      <c r="E47" s="22">
        <f>SUMIF(Raw_Data[ID klienta (Client ID)],A47,Processed_data[Zysk brutto
(Gross profit)])</f>
        <v>7.9254888888888875</v>
      </c>
    </row>
    <row r="48" spans="1:5" x14ac:dyDescent="0.25">
      <c r="A48" s="19" t="s">
        <v>151</v>
      </c>
      <c r="B48" s="17" t="s">
        <v>6</v>
      </c>
      <c r="C48" s="21">
        <f>_xlfn.MINIFS(Raw_Data[Data zamów. (Order date)],Raw_Data[ID klienta (Client ID)],A48)</f>
        <v>45681</v>
      </c>
      <c r="D48" s="22">
        <f>SUMIF(Raw_Data[ID klienta (Client ID)],A48,Raw_Data[Przychód brutto (Revenue)])</f>
        <v>158.36383333333336</v>
      </c>
      <c r="E48" s="22">
        <f>SUMIF(Raw_Data[ID klienta (Client ID)],A48,Processed_data[Zysk brutto
(Gross profit)])</f>
        <v>45.641971111111118</v>
      </c>
    </row>
    <row r="49" spans="1:5" x14ac:dyDescent="0.25">
      <c r="A49" s="18" t="s">
        <v>306</v>
      </c>
      <c r="B49" s="17" t="s">
        <v>6</v>
      </c>
      <c r="C49" s="21">
        <f>_xlfn.MINIFS(Raw_Data[Data zamów. (Order date)],Raw_Data[ID klienta (Client ID)],A49)</f>
        <v>45688</v>
      </c>
      <c r="D49" s="22">
        <f>SUMIF(Raw_Data[ID klienta (Client ID)],A49,Raw_Data[Przychód brutto (Revenue)])</f>
        <v>520.50555555555547</v>
      </c>
      <c r="E49" s="22">
        <f>SUMIF(Raw_Data[ID klienta (Client ID)],A49,Processed_data[Zysk brutto
(Gross profit)])</f>
        <v>268.45499999999993</v>
      </c>
    </row>
    <row r="50" spans="1:5" x14ac:dyDescent="0.25">
      <c r="A50" s="19" t="s">
        <v>340</v>
      </c>
      <c r="B50" s="17" t="s">
        <v>6</v>
      </c>
      <c r="C50" s="21">
        <f>_xlfn.MINIFS(Raw_Data[Data zamów. (Order date)],Raw_Data[ID klienta (Client ID)],A50)</f>
        <v>45906</v>
      </c>
      <c r="D50" s="22">
        <f>SUMIF(Raw_Data[ID klienta (Client ID)],A50,Raw_Data[Przychód brutto (Revenue)])</f>
        <v>100.82138888888888</v>
      </c>
      <c r="E50" s="22">
        <f>SUMIF(Raw_Data[ID klienta (Client ID)],A50,Processed_data[Zysk brutto
(Gross profit)])</f>
        <v>52.755677777777763</v>
      </c>
    </row>
    <row r="51" spans="1:5" x14ac:dyDescent="0.25">
      <c r="A51" s="18" t="s">
        <v>56</v>
      </c>
      <c r="B51" s="17" t="s">
        <v>29</v>
      </c>
      <c r="C51" s="21">
        <f>_xlfn.MINIFS(Raw_Data[Data zamów. (Order date)],Raw_Data[ID klienta (Client ID)],A51)</f>
        <v>45818</v>
      </c>
      <c r="D51" s="22">
        <f>SUMIF(Raw_Data[ID klienta (Client ID)],A51,Raw_Data[Przychód brutto (Revenue)])</f>
        <v>507.65999999999997</v>
      </c>
      <c r="E51" s="22">
        <f>SUMIF(Raw_Data[ID klienta (Client ID)],A51,Processed_data[Zysk brutto
(Gross profit)])</f>
        <v>227.04719999999998</v>
      </c>
    </row>
    <row r="52" spans="1:5" x14ac:dyDescent="0.25">
      <c r="A52" s="18" t="s">
        <v>101</v>
      </c>
      <c r="B52" s="17" t="s">
        <v>6</v>
      </c>
      <c r="C52" s="21">
        <f>_xlfn.MINIFS(Raw_Data[Data zamów. (Order date)],Raw_Data[ID klienta (Client ID)],A52)</f>
        <v>45826</v>
      </c>
      <c r="D52" s="22">
        <f>SUMIF(Raw_Data[ID klienta (Client ID)],A52,Raw_Data[Przychód brutto (Revenue)])</f>
        <v>6024.3729126984135</v>
      </c>
      <c r="E52" s="22">
        <f>SUMIF(Raw_Data[ID klienta (Client ID)],A52,Processed_data[Zysk brutto
(Gross profit)])</f>
        <v>1864.0289025396828</v>
      </c>
    </row>
    <row r="53" spans="1:5" x14ac:dyDescent="0.25">
      <c r="A53" s="19" t="s">
        <v>131</v>
      </c>
      <c r="B53" s="17" t="s">
        <v>6</v>
      </c>
      <c r="C53" s="21">
        <f>_xlfn.MINIFS(Raw_Data[Data zamów. (Order date)],Raw_Data[ID klienta (Client ID)],A53)</f>
        <v>45822</v>
      </c>
      <c r="D53" s="22">
        <f>SUMIF(Raw_Data[ID klienta (Client ID)],A53,Raw_Data[Przychód brutto (Revenue)])</f>
        <v>919.05885714285716</v>
      </c>
      <c r="E53" s="22">
        <f>SUMIF(Raw_Data[ID klienta (Client ID)],A53,Processed_data[Zysk brutto
(Gross profit)])</f>
        <v>389.09870857142857</v>
      </c>
    </row>
    <row r="54" spans="1:5" x14ac:dyDescent="0.25">
      <c r="A54" s="18" t="s">
        <v>28</v>
      </c>
      <c r="B54" s="17" t="s">
        <v>29</v>
      </c>
      <c r="C54" s="21">
        <f>_xlfn.MINIFS(Raw_Data[Data zamów. (Order date)],Raw_Data[ID klienta (Client ID)],A54)</f>
        <v>45750</v>
      </c>
      <c r="D54" s="22">
        <f>SUMIF(Raw_Data[ID klienta (Client ID)],A54,Raw_Data[Przychód brutto (Revenue)])</f>
        <v>2874.8848333333335</v>
      </c>
      <c r="E54" s="22">
        <f>SUMIF(Raw_Data[ID klienta (Client ID)],A54,Processed_data[Zysk brutto
(Gross profit)])</f>
        <v>1144.9864533333334</v>
      </c>
    </row>
    <row r="55" spans="1:5" x14ac:dyDescent="0.25">
      <c r="A55" s="19" t="s">
        <v>304</v>
      </c>
      <c r="B55" s="17" t="s">
        <v>6</v>
      </c>
      <c r="C55" s="21">
        <f>_xlfn.MINIFS(Raw_Data[Data zamów. (Order date)],Raw_Data[ID klienta (Client ID)],A55)</f>
        <v>45761</v>
      </c>
      <c r="D55" s="22">
        <f>SUMIF(Raw_Data[ID klienta (Client ID)],A55,Raw_Data[Przychód brutto (Revenue)])</f>
        <v>212.733</v>
      </c>
      <c r="E55" s="22">
        <f>SUMIF(Raw_Data[ID klienta (Client ID)],A55,Processed_data[Zysk brutto
(Gross profit)])</f>
        <v>101.4597</v>
      </c>
    </row>
    <row r="56" spans="1:5" x14ac:dyDescent="0.25">
      <c r="A56" s="18" t="s">
        <v>320</v>
      </c>
      <c r="B56" s="17" t="s">
        <v>29</v>
      </c>
      <c r="C56" s="21">
        <f>_xlfn.MINIFS(Raw_Data[Data zamów. (Order date)],Raw_Data[ID klienta (Client ID)],A56)</f>
        <v>45747</v>
      </c>
      <c r="D56" s="22">
        <f>SUMIF(Raw_Data[ID klienta (Client ID)],A56,Raw_Data[Przychód brutto (Revenue)])</f>
        <v>156.64666666666665</v>
      </c>
      <c r="E56" s="22">
        <f>SUMIF(Raw_Data[ID klienta (Client ID)],A56,Processed_data[Zysk brutto
(Gross profit)])</f>
        <v>80.981999999999985</v>
      </c>
    </row>
    <row r="57" spans="1:5" x14ac:dyDescent="0.25">
      <c r="A57" s="19" t="s">
        <v>52</v>
      </c>
      <c r="B57" s="17" t="s">
        <v>6</v>
      </c>
      <c r="C57" s="21">
        <f>_xlfn.MINIFS(Raw_Data[Data zamów. (Order date)],Raw_Data[ID klienta (Client ID)],A57)</f>
        <v>45719</v>
      </c>
      <c r="D57" s="22">
        <f>SUMIF(Raw_Data[ID klienta (Client ID)],A57,Raw_Data[Przychód brutto (Revenue)])</f>
        <v>352.26464285714286</v>
      </c>
      <c r="E57" s="22">
        <f>SUMIF(Raw_Data[ID klienta (Client ID)],A57,Processed_data[Zysk brutto
(Gross profit)])</f>
        <v>178.66920571428571</v>
      </c>
    </row>
    <row r="58" spans="1:5" x14ac:dyDescent="0.25">
      <c r="A58" s="19" t="s">
        <v>119</v>
      </c>
      <c r="B58" s="17" t="s">
        <v>6</v>
      </c>
      <c r="C58" s="21">
        <f>_xlfn.MINIFS(Raw_Data[Data zamów. (Order date)],Raw_Data[ID klienta (Client ID)],A58)</f>
        <v>45858</v>
      </c>
      <c r="D58" s="22">
        <f>SUMIF(Raw_Data[ID klienta (Client ID)],A58,Raw_Data[Przychód brutto (Revenue)])</f>
        <v>480.28678571428566</v>
      </c>
      <c r="E58" s="22">
        <f>SUMIF(Raw_Data[ID klienta (Client ID)],A58,Processed_data[Zysk brutto
(Gross profit)])</f>
        <v>203.28678571428568</v>
      </c>
    </row>
    <row r="59" spans="1:5" x14ac:dyDescent="0.25">
      <c r="A59" s="18" t="s">
        <v>162</v>
      </c>
      <c r="B59" s="17" t="s">
        <v>29</v>
      </c>
      <c r="C59" s="21">
        <f>_xlfn.MINIFS(Raw_Data[Data zamów. (Order date)],Raw_Data[ID klienta (Client ID)],A59)</f>
        <v>45676</v>
      </c>
      <c r="D59" s="22">
        <f>SUMIF(Raw_Data[ID klienta (Client ID)],A59,Raw_Data[Przychód brutto (Revenue)])</f>
        <v>445.37916666666666</v>
      </c>
      <c r="E59" s="22">
        <f>SUMIF(Raw_Data[ID klienta (Client ID)],A59,Processed_data[Zysk brutto
(Gross profit)])</f>
        <v>242.24883333333332</v>
      </c>
    </row>
    <row r="60" spans="1:5" x14ac:dyDescent="0.25">
      <c r="A60" s="18" t="s">
        <v>324</v>
      </c>
      <c r="B60" s="17" t="s">
        <v>29</v>
      </c>
      <c r="C60" s="21">
        <f>_xlfn.MINIFS(Raw_Data[Data zamów. (Order date)],Raw_Data[ID klienta (Client ID)],A60)</f>
        <v>45991</v>
      </c>
      <c r="D60" s="22">
        <f>SUMIF(Raw_Data[ID klienta (Client ID)],A60,Raw_Data[Przychód brutto (Revenue)])</f>
        <v>19.325222222222223</v>
      </c>
      <c r="E60" s="22">
        <f>SUMIF(Raw_Data[ID klienta (Client ID)],A60,Processed_data[Zysk brutto
(Gross profit)])</f>
        <v>10.779204444444446</v>
      </c>
    </row>
    <row r="61" spans="1:5" x14ac:dyDescent="0.25">
      <c r="A61" s="19" t="s">
        <v>316</v>
      </c>
      <c r="B61" s="17" t="s">
        <v>6</v>
      </c>
      <c r="C61" s="21">
        <f>_xlfn.MINIFS(Raw_Data[Data zamów. (Order date)],Raw_Data[ID klienta (Client ID)],A61)</f>
        <v>45747</v>
      </c>
      <c r="D61" s="22">
        <f>SUMIF(Raw_Data[ID klienta (Client ID)],A61,Raw_Data[Przychód brutto (Revenue)])</f>
        <v>52.366714285714281</v>
      </c>
      <c r="E61" s="22">
        <f>SUMIF(Raw_Data[ID klienta (Client ID)],A61,Processed_data[Zysk brutto
(Gross profit)])</f>
        <v>22.366714285714281</v>
      </c>
    </row>
    <row r="62" spans="1:5" x14ac:dyDescent="0.25">
      <c r="A62" s="19" t="s">
        <v>318</v>
      </c>
      <c r="B62" s="17" t="s">
        <v>6</v>
      </c>
      <c r="C62" s="21">
        <f>_xlfn.MINIFS(Raw_Data[Data zamów. (Order date)],Raw_Data[ID klienta (Client ID)],A62)</f>
        <v>45914</v>
      </c>
      <c r="D62" s="22">
        <f>SUMIF(Raw_Data[ID klienta (Client ID)],A62,Raw_Data[Przychód brutto (Revenue)])</f>
        <v>500.77857142857135</v>
      </c>
      <c r="E62" s="22">
        <f>SUMIF(Raw_Data[ID klienta (Client ID)],A62,Processed_data[Zysk brutto
(Gross profit)])</f>
        <v>130.68514285714281</v>
      </c>
    </row>
    <row r="63" spans="1:5" x14ac:dyDescent="0.25">
      <c r="A63" s="19" t="s">
        <v>302</v>
      </c>
      <c r="B63" s="17" t="s">
        <v>6</v>
      </c>
      <c r="C63" s="21">
        <f>_xlfn.MINIFS(Raw_Data[Data zamów. (Order date)],Raw_Data[ID klienta (Client ID)],A63)</f>
        <v>46022</v>
      </c>
      <c r="D63" s="22">
        <f>SUMIF(Raw_Data[ID klienta (Client ID)],A63,Raw_Data[Przychód brutto (Revenue)])</f>
        <v>175.9075</v>
      </c>
      <c r="E63" s="22">
        <f>SUMIF(Raw_Data[ID klienta (Client ID)],A63,Processed_data[Zysk brutto
(Gross profit)])</f>
        <v>21.834899999999998</v>
      </c>
    </row>
    <row r="64" spans="1:5" x14ac:dyDescent="0.25">
      <c r="A64" s="19" t="s">
        <v>49</v>
      </c>
      <c r="B64" s="17" t="s">
        <v>29</v>
      </c>
      <c r="C64" s="21">
        <f>_xlfn.MINIFS(Raw_Data[Data zamów. (Order date)],Raw_Data[ID klienta (Client ID)],A64)</f>
        <v>45987</v>
      </c>
      <c r="D64" s="22">
        <f>SUMIF(Raw_Data[ID klienta (Client ID)],A64,Raw_Data[Przychód brutto (Revenue)])</f>
        <v>194.80500000000004</v>
      </c>
      <c r="E64" s="22">
        <f>SUMIF(Raw_Data[ID klienta (Client ID)],A64,Processed_data[Zysk brutto
(Gross profit)])</f>
        <v>35.324500000000029</v>
      </c>
    </row>
    <row r="65" spans="1:5" x14ac:dyDescent="0.25">
      <c r="A65" s="18" t="s">
        <v>342</v>
      </c>
      <c r="B65" s="17" t="s">
        <v>29</v>
      </c>
      <c r="C65" s="21">
        <f>_xlfn.MINIFS(Raw_Data[Data zamów. (Order date)],Raw_Data[ID klienta (Client ID)],A65)</f>
        <v>45925</v>
      </c>
      <c r="D65" s="22">
        <f>SUMIF(Raw_Data[ID klienta (Client ID)],A65,Raw_Data[Przychód brutto (Revenue)])</f>
        <v>45.190000000000005</v>
      </c>
      <c r="E65" s="22">
        <f>SUMIF(Raw_Data[ID klienta (Client ID)],A65,Processed_data[Zysk brutto
(Gross profit)])</f>
        <v>12.671000000000003</v>
      </c>
    </row>
    <row r="66" spans="1:5" x14ac:dyDescent="0.25">
      <c r="A66" s="19" t="s">
        <v>326</v>
      </c>
      <c r="B66" s="17" t="s">
        <v>6</v>
      </c>
      <c r="C66" s="21">
        <f>_xlfn.MINIFS(Raw_Data[Data zamów. (Order date)],Raw_Data[ID klienta (Client ID)],A66)</f>
        <v>45708</v>
      </c>
      <c r="D66" s="22">
        <f>SUMIF(Raw_Data[ID klienta (Client ID)],A66,Raw_Data[Przychód brutto (Revenue)])</f>
        <v>2716.8285714285721</v>
      </c>
      <c r="E66" s="22">
        <f>SUMIF(Raw_Data[ID klienta (Client ID)],A66,Processed_data[Zysk brutto
(Gross profit)])</f>
        <v>1005.1457142857148</v>
      </c>
    </row>
    <row r="67" spans="1:5" x14ac:dyDescent="0.25">
      <c r="A67" s="19" t="s">
        <v>338</v>
      </c>
      <c r="B67" s="17" t="s">
        <v>29</v>
      </c>
      <c r="C67" s="21">
        <f>_xlfn.MINIFS(Raw_Data[Data zamów. (Order date)],Raw_Data[ID klienta (Client ID)],A67)</f>
        <v>45899</v>
      </c>
      <c r="D67" s="22">
        <f>SUMIF(Raw_Data[ID klienta (Client ID)],A67,Raw_Data[Przychód brutto (Revenue)])</f>
        <v>429.18692857142855</v>
      </c>
      <c r="E67" s="22">
        <f>SUMIF(Raw_Data[ID klienta (Client ID)],A67,Processed_data[Zysk brutto
(Gross profit)])</f>
        <v>159.18692857142855</v>
      </c>
    </row>
    <row r="202" spans="8:9" x14ac:dyDescent="0.25">
      <c r="H202" s="10"/>
      <c r="I202"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3F00-C85B-4F65-AD56-24E96EB13699}">
  <dimension ref="A1:F201"/>
  <sheetViews>
    <sheetView workbookViewId="0">
      <selection activeCell="E1" sqref="A1:E1"/>
    </sheetView>
  </sheetViews>
  <sheetFormatPr defaultRowHeight="15" x14ac:dyDescent="0.25"/>
  <cols>
    <col min="1" max="1" width="14.28515625" style="4" customWidth="1"/>
    <col min="2" max="2" width="13.7109375" style="4" customWidth="1"/>
    <col min="3" max="3" width="12.140625" style="4" customWidth="1"/>
    <col min="4" max="4" width="12" customWidth="1"/>
    <col min="5" max="5" width="9.5703125" customWidth="1"/>
    <col min="7" max="7" width="18.140625" bestFit="1" customWidth="1"/>
  </cols>
  <sheetData>
    <row r="1" spans="1:6" s="12" customFormat="1" ht="60" x14ac:dyDescent="0.25">
      <c r="A1" s="16" t="s">
        <v>374</v>
      </c>
      <c r="B1" s="16" t="s">
        <v>384</v>
      </c>
      <c r="C1" s="16" t="s">
        <v>383</v>
      </c>
      <c r="D1" s="16" t="s">
        <v>387</v>
      </c>
      <c r="E1" s="16" t="s">
        <v>388</v>
      </c>
    </row>
    <row r="2" spans="1:6" x14ac:dyDescent="0.25">
      <c r="A2" s="13" t="s">
        <v>361</v>
      </c>
      <c r="B2" s="14" t="s">
        <v>23</v>
      </c>
      <c r="C2" s="15">
        <v>130</v>
      </c>
      <c r="D2" s="15">
        <f>C2*100/92</f>
        <v>141.30434782608697</v>
      </c>
      <c r="E2" s="25">
        <f>AVERAGEIF(Raw_Data[Produkt (Product)],'Product lookup table'!A2,Processed_data[Marża (Margin)])</f>
        <v>0.12701551057684574</v>
      </c>
    </row>
    <row r="3" spans="1:6" x14ac:dyDescent="0.25">
      <c r="A3" s="13" t="s">
        <v>359</v>
      </c>
      <c r="B3" s="14" t="s">
        <v>23</v>
      </c>
      <c r="C3" s="15">
        <v>110</v>
      </c>
      <c r="D3" s="15">
        <f t="shared" ref="D3:D5" si="0">C3*100/92</f>
        <v>119.56521739130434</v>
      </c>
      <c r="E3" s="25">
        <f>AVERAGEIF(Raw_Data[Produkt (Product)],'Product lookup table'!A3,Processed_data[Marża (Margin)])</f>
        <v>5.7354932283520572E-2</v>
      </c>
    </row>
    <row r="4" spans="1:6" x14ac:dyDescent="0.25">
      <c r="A4" s="13" t="s">
        <v>360</v>
      </c>
      <c r="B4" s="14" t="s">
        <v>23</v>
      </c>
      <c r="C4" s="15">
        <v>70</v>
      </c>
      <c r="D4" s="15">
        <f t="shared" si="0"/>
        <v>76.086956521739125</v>
      </c>
      <c r="E4" s="25">
        <f>AVERAGEIF(Raw_Data[Produkt (Product)],'Product lookup table'!A4,Processed_data[Marża (Margin)])</f>
        <v>5.6122823096116936E-2</v>
      </c>
    </row>
    <row r="5" spans="1:6" x14ac:dyDescent="0.25">
      <c r="A5" s="13" t="s">
        <v>22</v>
      </c>
      <c r="B5" s="14" t="s">
        <v>23</v>
      </c>
      <c r="C5" s="15">
        <v>80</v>
      </c>
      <c r="D5" s="15">
        <f t="shared" si="0"/>
        <v>86.956521739130437</v>
      </c>
      <c r="E5" s="25">
        <f>AVERAGEIF(Raw_Data[Produkt (Product)],'Product lookup table'!A5,Processed_data[Marża (Margin)])</f>
        <v>0.11714093232696297</v>
      </c>
      <c r="F5" s="11"/>
    </row>
    <row r="6" spans="1:6" x14ac:dyDescent="0.25">
      <c r="A6" s="13" t="s">
        <v>209</v>
      </c>
      <c r="B6" s="14" t="s">
        <v>41</v>
      </c>
      <c r="C6" s="15">
        <v>9</v>
      </c>
      <c r="D6" s="15">
        <f>C6*100/55</f>
        <v>16.363636363636363</v>
      </c>
      <c r="E6" s="25">
        <f>AVERAGEIF(Raw_Data[Produkt (Product)],'Product lookup table'!A6,Processed_data[Marża (Margin)])</f>
        <v>0.47783437297056808</v>
      </c>
    </row>
    <row r="7" spans="1:6" x14ac:dyDescent="0.25">
      <c r="A7" s="13" t="s">
        <v>357</v>
      </c>
      <c r="B7" s="14" t="s">
        <v>41</v>
      </c>
      <c r="C7" s="15">
        <v>30</v>
      </c>
      <c r="D7" s="15">
        <f t="shared" ref="D7:D9" si="1">C7*100/55</f>
        <v>54.545454545454547</v>
      </c>
      <c r="E7" s="25">
        <f>AVERAGEIF(Raw_Data[Produkt (Product)],'Product lookup table'!A7,Processed_data[Marża (Margin)])</f>
        <v>0.45503776785400302</v>
      </c>
    </row>
    <row r="8" spans="1:6" x14ac:dyDescent="0.25">
      <c r="A8" s="13" t="s">
        <v>40</v>
      </c>
      <c r="B8" s="14" t="s">
        <v>41</v>
      </c>
      <c r="C8" s="15">
        <v>20</v>
      </c>
      <c r="D8" s="15">
        <f t="shared" si="1"/>
        <v>36.363636363636367</v>
      </c>
      <c r="E8" s="25">
        <f>AVERAGEIF(Raw_Data[Produkt (Product)],'Product lookup table'!A8,Processed_data[Marża (Margin)])</f>
        <v>0.452311925369484</v>
      </c>
    </row>
    <row r="9" spans="1:6" x14ac:dyDescent="0.25">
      <c r="A9" s="13" t="s">
        <v>358</v>
      </c>
      <c r="B9" s="14" t="s">
        <v>41</v>
      </c>
      <c r="C9" s="15">
        <v>15</v>
      </c>
      <c r="D9" s="15">
        <f t="shared" si="1"/>
        <v>27.272727272727273</v>
      </c>
      <c r="E9" s="25">
        <f>AVERAGEIF(Raw_Data[Produkt (Product)],'Product lookup table'!A9,Processed_data[Marża (Margin)])</f>
        <v>0.46015582035019875</v>
      </c>
    </row>
    <row r="10" spans="1:6" x14ac:dyDescent="0.25">
      <c r="A10" s="13" t="s">
        <v>64</v>
      </c>
      <c r="B10" s="14" t="s">
        <v>9</v>
      </c>
      <c r="C10" s="15">
        <v>25</v>
      </c>
      <c r="D10" s="15">
        <f>C10*100/45</f>
        <v>55.555555555555557</v>
      </c>
      <c r="E10" s="25">
        <f>AVERAGEIF(Raw_Data[Produkt (Product)],'Product lookup table'!A10,Processed_data[Marża (Margin)])</f>
        <v>0.50694395903620126</v>
      </c>
    </row>
    <row r="11" spans="1:6" x14ac:dyDescent="0.25">
      <c r="A11" s="13" t="s">
        <v>364</v>
      </c>
      <c r="B11" s="14" t="s">
        <v>9</v>
      </c>
      <c r="C11" s="15">
        <v>5</v>
      </c>
      <c r="D11" s="15">
        <f t="shared" ref="D11:D15" si="2">C11*100/45</f>
        <v>11.111111111111111</v>
      </c>
      <c r="E11" s="25">
        <f>AVERAGEIF(Raw_Data[Produkt (Product)],'Product lookup table'!A11,Processed_data[Marża (Margin)])</f>
        <v>0.54897858310899716</v>
      </c>
    </row>
    <row r="12" spans="1:6" x14ac:dyDescent="0.25">
      <c r="A12" s="13" t="s">
        <v>363</v>
      </c>
      <c r="B12" s="14" t="s">
        <v>9</v>
      </c>
      <c r="C12" s="15">
        <v>40</v>
      </c>
      <c r="D12" s="15">
        <f t="shared" si="2"/>
        <v>88.888888888888886</v>
      </c>
      <c r="E12" s="25">
        <f>AVERAGEIF(Raw_Data[Produkt (Product)],'Product lookup table'!A12,Processed_data[Marża (Margin)])</f>
        <v>0.51517469012241512</v>
      </c>
    </row>
    <row r="13" spans="1:6" x14ac:dyDescent="0.25">
      <c r="A13" s="13" t="s">
        <v>362</v>
      </c>
      <c r="B13" s="14" t="s">
        <v>9</v>
      </c>
      <c r="C13" s="15">
        <v>30</v>
      </c>
      <c r="D13" s="15">
        <f t="shared" si="2"/>
        <v>66.666666666666671</v>
      </c>
      <c r="E13" s="25">
        <f>AVERAGEIF(Raw_Data[Produkt (Product)],'Product lookup table'!A13,Processed_data[Marża (Margin)])</f>
        <v>0.53510865857905088</v>
      </c>
    </row>
    <row r="14" spans="1:6" x14ac:dyDescent="0.25">
      <c r="A14" s="13" t="s">
        <v>8</v>
      </c>
      <c r="B14" s="14" t="s">
        <v>9</v>
      </c>
      <c r="C14" s="15">
        <v>3.5</v>
      </c>
      <c r="D14" s="15">
        <f t="shared" si="2"/>
        <v>7.7777777777777777</v>
      </c>
      <c r="E14" s="25">
        <f>AVERAGEIF(Raw_Data[Produkt (Product)],'Product lookup table'!A14,Processed_data[Marża (Margin)])</f>
        <v>0.55294059097738091</v>
      </c>
    </row>
    <row r="15" spans="1:6" x14ac:dyDescent="0.25">
      <c r="A15" s="13" t="s">
        <v>365</v>
      </c>
      <c r="B15" s="14" t="s">
        <v>9</v>
      </c>
      <c r="C15" s="15">
        <v>2.5</v>
      </c>
      <c r="D15" s="15">
        <f t="shared" si="2"/>
        <v>5.5555555555555554</v>
      </c>
      <c r="E15" s="25">
        <f>AVERAGEIF(Raw_Data[Produkt (Product)],'Product lookup table'!A15,Processed_data[Marża (Margin)])</f>
        <v>0.56505638036510109</v>
      </c>
    </row>
    <row r="16" spans="1:6" x14ac:dyDescent="0.25">
      <c r="A16" s="13" t="s">
        <v>27</v>
      </c>
      <c r="B16" s="14" t="s">
        <v>2</v>
      </c>
      <c r="C16" s="15">
        <v>15</v>
      </c>
      <c r="D16" s="15">
        <f>C16*100/70</f>
        <v>21.428571428571427</v>
      </c>
      <c r="E16" s="25">
        <f>AVERAGEIF(Raw_Data[Produkt (Product)],'Product lookup table'!A16,Processed_data[Marża (Margin)])</f>
        <v>0.33971623167491777</v>
      </c>
    </row>
    <row r="17" spans="1:5" x14ac:dyDescent="0.25">
      <c r="A17" s="13" t="s">
        <v>1</v>
      </c>
      <c r="B17" s="14" t="s">
        <v>2</v>
      </c>
      <c r="C17" s="15">
        <v>310</v>
      </c>
      <c r="D17" s="15">
        <f t="shared" ref="D17:D20" si="3">C17*100/70</f>
        <v>442.85714285714283</v>
      </c>
      <c r="E17" s="25">
        <f>AVERAGEIF(Raw_Data[Produkt (Product)],'Product lookup table'!A17,Processed_data[Marża (Margin)])</f>
        <v>0.29516153409901852</v>
      </c>
    </row>
    <row r="18" spans="1:5" x14ac:dyDescent="0.25">
      <c r="A18" s="13" t="s">
        <v>368</v>
      </c>
      <c r="B18" s="14" t="s">
        <v>2</v>
      </c>
      <c r="C18" s="15">
        <v>28</v>
      </c>
      <c r="D18" s="15">
        <f t="shared" si="3"/>
        <v>40</v>
      </c>
      <c r="E18" s="25">
        <f>AVERAGEIF(Raw_Data[Produkt (Product)],'Product lookup table'!A18,Processed_data[Marża (Margin)])</f>
        <v>0.29398552016983309</v>
      </c>
    </row>
    <row r="19" spans="1:5" x14ac:dyDescent="0.25">
      <c r="A19" s="13" t="s">
        <v>366</v>
      </c>
      <c r="B19" s="14" t="s">
        <v>2</v>
      </c>
      <c r="C19" s="15">
        <v>360</v>
      </c>
      <c r="D19" s="15">
        <f t="shared" si="3"/>
        <v>514.28571428571433</v>
      </c>
      <c r="E19" s="25">
        <f>AVERAGEIF(Raw_Data[Produkt (Product)],'Product lookup table'!A19,Processed_data[Marża (Margin)])</f>
        <v>0.28764560527278971</v>
      </c>
    </row>
    <row r="20" spans="1:5" x14ac:dyDescent="0.25">
      <c r="A20" s="13" t="s">
        <v>367</v>
      </c>
      <c r="B20" s="14" t="s">
        <v>2</v>
      </c>
      <c r="C20" s="15">
        <v>270</v>
      </c>
      <c r="D20" s="15">
        <f t="shared" si="3"/>
        <v>385.71428571428572</v>
      </c>
      <c r="E20" s="25">
        <f>AVERAGEIF(Raw_Data[Produkt (Product)],'Product lookup table'!A20,Processed_data[Marża (Margin)])</f>
        <v>0.3240936779763714</v>
      </c>
    </row>
    <row r="21" spans="1:5" x14ac:dyDescent="0.25">
      <c r="A21"/>
    </row>
    <row r="24" spans="1:5" x14ac:dyDescent="0.25">
      <c r="A24"/>
    </row>
    <row r="25" spans="1:5" x14ac:dyDescent="0.25">
      <c r="A25"/>
    </row>
    <row r="26" spans="1:5" x14ac:dyDescent="0.25">
      <c r="A26"/>
    </row>
    <row r="27" spans="1:5" x14ac:dyDescent="0.25">
      <c r="A27"/>
    </row>
    <row r="28" spans="1:5" x14ac:dyDescent="0.25">
      <c r="A28"/>
    </row>
    <row r="29" spans="1:5" x14ac:dyDescent="0.25">
      <c r="A29"/>
    </row>
    <row r="30" spans="1:5" x14ac:dyDescent="0.25">
      <c r="A30"/>
    </row>
    <row r="31" spans="1:5" x14ac:dyDescent="0.25">
      <c r="A31"/>
    </row>
    <row r="32" spans="1:5"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sheetData>
  <sortState xmlns:xlrd2="http://schemas.microsoft.com/office/spreadsheetml/2017/richdata2" ref="G2:H5">
    <sortCondition ref="G2:G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648B-E767-4BEF-A833-A398E525189D}">
  <dimension ref="B2:O24"/>
  <sheetViews>
    <sheetView workbookViewId="0">
      <selection activeCell="H35" sqref="H35"/>
    </sheetView>
  </sheetViews>
  <sheetFormatPr defaultRowHeight="15" x14ac:dyDescent="0.25"/>
  <cols>
    <col min="2" max="2" width="18.140625" bestFit="1" customWidth="1"/>
    <col min="3" max="3" width="13.7109375" customWidth="1"/>
  </cols>
  <sheetData>
    <row r="2" spans="2:15" x14ac:dyDescent="0.25">
      <c r="B2" s="12" t="s">
        <v>396</v>
      </c>
    </row>
    <row r="3" spans="2:15" ht="30" x14ac:dyDescent="0.25">
      <c r="B3" s="40" t="s">
        <v>375</v>
      </c>
      <c r="C3" s="40" t="s">
        <v>397</v>
      </c>
    </row>
    <row r="4" spans="2:15" x14ac:dyDescent="0.25">
      <c r="B4" s="13" t="s">
        <v>13</v>
      </c>
      <c r="C4" s="35">
        <v>0.08</v>
      </c>
    </row>
    <row r="5" spans="2:15" x14ac:dyDescent="0.25">
      <c r="B5" s="13" t="s">
        <v>10</v>
      </c>
      <c r="C5" s="35">
        <v>0.12</v>
      </c>
    </row>
    <row r="6" spans="2:15" x14ac:dyDescent="0.25">
      <c r="B6" s="13" t="s">
        <v>3</v>
      </c>
      <c r="C6" s="35">
        <v>0.1</v>
      </c>
      <c r="O6" s="6"/>
    </row>
    <row r="7" spans="2:15" x14ac:dyDescent="0.25">
      <c r="B7" s="13" t="s">
        <v>33</v>
      </c>
      <c r="C7" s="35">
        <v>0</v>
      </c>
      <c r="O7" s="6"/>
    </row>
    <row r="8" spans="2:15" x14ac:dyDescent="0.25">
      <c r="B8" s="39" t="s">
        <v>411</v>
      </c>
      <c r="O8" s="6"/>
    </row>
    <row r="10" spans="2:15" x14ac:dyDescent="0.25">
      <c r="B10" s="41" t="s">
        <v>398</v>
      </c>
    </row>
    <row r="11" spans="2:15" x14ac:dyDescent="0.25">
      <c r="B11" t="s">
        <v>399</v>
      </c>
    </row>
    <row r="12" spans="2:15" x14ac:dyDescent="0.25">
      <c r="B12" t="s">
        <v>400</v>
      </c>
    </row>
    <row r="14" spans="2:15" x14ac:dyDescent="0.25">
      <c r="B14" s="12" t="s">
        <v>401</v>
      </c>
    </row>
    <row r="15" spans="2:15" x14ac:dyDescent="0.25">
      <c r="B15" t="s">
        <v>410</v>
      </c>
    </row>
    <row r="16" spans="2:15" x14ac:dyDescent="0.25">
      <c r="B16" t="s">
        <v>402</v>
      </c>
    </row>
    <row r="17" spans="2:2" x14ac:dyDescent="0.25">
      <c r="B17" t="s">
        <v>403</v>
      </c>
    </row>
    <row r="18" spans="2:2" x14ac:dyDescent="0.25">
      <c r="B18" t="s">
        <v>404</v>
      </c>
    </row>
    <row r="20" spans="2:2" x14ac:dyDescent="0.25">
      <c r="B20" s="12" t="s">
        <v>405</v>
      </c>
    </row>
    <row r="21" spans="2:2" x14ac:dyDescent="0.25">
      <c r="B21" t="s">
        <v>409</v>
      </c>
    </row>
    <row r="22" spans="2:2" x14ac:dyDescent="0.25">
      <c r="B22" t="s">
        <v>406</v>
      </c>
    </row>
    <row r="23" spans="2:2" x14ac:dyDescent="0.25">
      <c r="B23" t="s">
        <v>407</v>
      </c>
    </row>
    <row r="24" spans="2:2" x14ac:dyDescent="0.25">
      <c r="B24" t="s">
        <v>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2786-79D1-416A-BCB7-89BF5C8F0387}">
  <dimension ref="A1:N203"/>
  <sheetViews>
    <sheetView topLeftCell="A170" workbookViewId="0">
      <selection activeCell="H202" sqref="H202"/>
    </sheetView>
  </sheetViews>
  <sheetFormatPr defaultRowHeight="15" x14ac:dyDescent="0.25"/>
  <cols>
    <col min="1" max="2" width="10.42578125" style="6" customWidth="1"/>
    <col min="3" max="3" width="12.5703125" style="6" bestFit="1" customWidth="1"/>
    <col min="4" max="4" width="13.42578125" customWidth="1"/>
    <col min="5" max="5" width="15.42578125" style="6" customWidth="1"/>
    <col min="6" max="6" width="10" style="6" bestFit="1" customWidth="1"/>
    <col min="7" max="7" width="8.85546875" style="6" customWidth="1"/>
    <col min="8" max="8" width="11.7109375" customWidth="1"/>
    <col min="9" max="9" width="13" customWidth="1"/>
    <col min="10" max="10" width="8.7109375" customWidth="1"/>
    <col min="11" max="11" width="11.28515625" customWidth="1"/>
    <col min="12" max="12" width="9.85546875" customWidth="1"/>
  </cols>
  <sheetData>
    <row r="1" spans="1:14" ht="45" x14ac:dyDescent="0.25">
      <c r="A1" s="8" t="s">
        <v>372</v>
      </c>
      <c r="B1" s="8" t="s">
        <v>379</v>
      </c>
      <c r="C1" s="24" t="s">
        <v>391</v>
      </c>
      <c r="D1" s="24" t="s">
        <v>374</v>
      </c>
      <c r="E1" s="24" t="s">
        <v>375</v>
      </c>
      <c r="F1" s="24" t="s">
        <v>376</v>
      </c>
      <c r="G1" s="8" t="s">
        <v>378</v>
      </c>
      <c r="H1" s="24" t="s">
        <v>382</v>
      </c>
      <c r="I1" s="4" t="s">
        <v>370</v>
      </c>
      <c r="J1" s="4" t="s">
        <v>371</v>
      </c>
      <c r="K1" s="4" t="s">
        <v>395</v>
      </c>
      <c r="L1" s="4" t="s">
        <v>392</v>
      </c>
      <c r="M1" s="4" t="s">
        <v>394</v>
      </c>
      <c r="N1" s="4" t="s">
        <v>393</v>
      </c>
    </row>
    <row r="2" spans="1:14" x14ac:dyDescent="0.25">
      <c r="A2" s="6" t="str">
        <f>Raw_Data[[#This Row],[ID zamów. (Order ID)]]</f>
        <v>ORD0001</v>
      </c>
      <c r="B2" s="6" t="str">
        <f>Raw_Data[[#This Row],[ID klienta (Client ID)]]</f>
        <v>CUST4269</v>
      </c>
      <c r="C2" s="6" t="str">
        <f>_xlfn.XLOOKUP(Raw_Data[[#This Row],[Produkt (Product)]],'Product lookup table'!$A$2:$A$20,'Product lookup table'!$B$2:$B$20)</f>
        <v>Outdoor</v>
      </c>
      <c r="D2" s="6" t="str">
        <f>Raw_Data[[#This Row],[Produkt (Product)]]</f>
        <v>Namiot</v>
      </c>
      <c r="E2" s="6" t="str">
        <f>Raw_Data[[#This Row],[Kanał sprzedaży (Marketplace)]]</f>
        <v>Empik Marketplace</v>
      </c>
      <c r="F2" s="6" t="str">
        <f>Raw_Data[[#This Row],[Miasto (City)]]</f>
        <v>Poznań</v>
      </c>
      <c r="G2" s="6">
        <f>Raw_Data[[#This Row],[Ilość (Quant.)]]</f>
        <v>2</v>
      </c>
      <c r="H2" s="7">
        <f>Raw_Data[[#This Row],[Przychód brutto (Revenue)]]</f>
        <v>1265.8428571428574</v>
      </c>
      <c r="I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419.25857142857166</v>
      </c>
      <c r="J2" s="23">
        <f>Processed_data[[#This Row],[Zysk brutto
(Gross profit)]]/Processed_data[[#This Row],[Przychód brutto (Revenue)]]</f>
        <v>0.33120901939983532</v>
      </c>
      <c r="K2" t="str">
        <f>IF(Processed_data[[#This Row],[Marża (Margin)]]&gt;0.6,"wysoka",IF(Processed_data[[#This Row],[Marża (Margin)]]&gt;0.3,"średnia","niska"))</f>
        <v>średnia</v>
      </c>
      <c r="L2">
        <f>MONTH(Raw_Data[[#This Row],[Data zamów. (Order date)]])</f>
        <v>10</v>
      </c>
      <c r="M2" t="str">
        <f>TEXT(Raw_Data[[#This Row],[Data zamów. (Order date)]], "MMMM")</f>
        <v>październik</v>
      </c>
      <c r="N2">
        <f>IF(Processed_data[[#This Row],[Miesiąc (Month)]]&lt;=3,1,IF(Processed_data[[#This Row],[Miesiąc (Month)]]&lt;=6,2,IF(Processed_data[[#This Row],[Miesiąc (Month)]]&lt;=9,3,4)))</f>
        <v>4</v>
      </c>
    </row>
    <row r="3" spans="1:14" x14ac:dyDescent="0.25">
      <c r="A3" s="6" t="str">
        <f>Raw_Data[[#This Row],[ID zamów. (Order ID)]]</f>
        <v>ORD0002</v>
      </c>
      <c r="B3" s="6" t="str">
        <f>Raw_Data[[#This Row],[ID klienta (Client ID)]]</f>
        <v>CUST2762</v>
      </c>
      <c r="C3" s="6" t="str">
        <f>_xlfn.XLOOKUP(Raw_Data[[#This Row],[Produkt (Product)]],'Product lookup table'!$A$2:$A$20,'Product lookup table'!$B$2:$B$20)</f>
        <v>Outdoor</v>
      </c>
      <c r="D3" s="6" t="str">
        <f>Raw_Data[[#This Row],[Produkt (Product)]]</f>
        <v>Buty trekkingowe</v>
      </c>
      <c r="E3" s="6" t="str">
        <f>Raw_Data[[#This Row],[Kanał sprzedaży (Marketplace)]]</f>
        <v>Amazon</v>
      </c>
      <c r="F3" s="6" t="str">
        <f>Raw_Data[[#This Row],[Miasto (City)]]</f>
        <v>Gdańsk</v>
      </c>
      <c r="G3" s="6">
        <f>Raw_Data[[#This Row],[Ilość (Quant.)]]</f>
        <v>4</v>
      </c>
      <c r="H3" s="7">
        <f>Raw_Data[[#This Row],[Przychód brutto (Revenue)]]</f>
        <v>2377.6742857142858</v>
      </c>
      <c r="I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852.35337142857156</v>
      </c>
      <c r="J3" s="23">
        <f>Processed_data[[#This Row],[Zysk brutto
(Gross profit)]]/Processed_data[[#This Row],[Przychód brutto (Revenue)]]</f>
        <v>0.35848197398177817</v>
      </c>
      <c r="K3" t="str">
        <f>IF(Processed_data[[#This Row],[Marża (Margin)]]&gt;0.6,"wysoka",IF(Processed_data[[#This Row],[Marża (Margin)]]&gt;0.3,"średnia","niska"))</f>
        <v>średnia</v>
      </c>
      <c r="L3">
        <f>MONTH(Raw_Data[[#This Row],[Data zamów. (Order date)]])</f>
        <v>4</v>
      </c>
      <c r="M3" t="str">
        <f>TEXT(Raw_Data[[#This Row],[Data zamów. (Order date)]], "MMMM")</f>
        <v>kwiecień</v>
      </c>
      <c r="N3">
        <f>IF(Processed_data[[#This Row],[Miesiąc (Month)]]&lt;=3,1,IF(Processed_data[[#This Row],[Miesiąc (Month)]]&lt;=6,2,IF(Processed_data[[#This Row],[Miesiąc (Month)]]&lt;=9,3,4)))</f>
        <v>2</v>
      </c>
    </row>
    <row r="4" spans="1:14" x14ac:dyDescent="0.25">
      <c r="A4" s="6" t="str">
        <f>Raw_Data[[#This Row],[ID zamów. (Order ID)]]</f>
        <v>ORD0003</v>
      </c>
      <c r="B4" s="6" t="str">
        <f>Raw_Data[[#This Row],[ID klienta (Client ID)]]</f>
        <v>CUST7053</v>
      </c>
      <c r="C4" s="6" t="str">
        <f>_xlfn.XLOOKUP(Raw_Data[[#This Row],[Produkt (Product)]],'Product lookup table'!$A$2:$A$20,'Product lookup table'!$B$2:$B$20)</f>
        <v>Kosmetyki</v>
      </c>
      <c r="D4" s="6" t="str">
        <f>Raw_Data[[#This Row],[Produkt (Product)]]</f>
        <v>Żel pod prysznic</v>
      </c>
      <c r="E4" s="6" t="str">
        <f>Raw_Data[[#This Row],[Kanał sprzedaży (Marketplace)]]</f>
        <v>Allegro</v>
      </c>
      <c r="F4" s="6" t="str">
        <f>Raw_Data[[#This Row],[Miasto (City)]]</f>
        <v>Gdańsk</v>
      </c>
      <c r="G4" s="6">
        <f>Raw_Data[[#This Row],[Ilość (Quant.)]]</f>
        <v>3</v>
      </c>
      <c r="H4" s="7">
        <f>Raw_Data[[#This Row],[Przychód brutto (Revenue)]]</f>
        <v>23.803333333333335</v>
      </c>
      <c r="I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14.399066666666668</v>
      </c>
      <c r="J4" s="23">
        <f>Processed_data[[#This Row],[Zysk brutto
(Gross profit)]]/Processed_data[[#This Row],[Przychód brutto (Revenue)]]</f>
        <v>0.6049180787004621</v>
      </c>
      <c r="K4" t="str">
        <f>IF(Processed_data[[#This Row],[Marża (Margin)]]&gt;0.6,"wysoka",IF(Processed_data[[#This Row],[Marża (Margin)]]&gt;0.3,"średnia","niska"))</f>
        <v>wysoka</v>
      </c>
      <c r="L4">
        <f>MONTH(Raw_Data[[#This Row],[Data zamów. (Order date)]])</f>
        <v>5</v>
      </c>
      <c r="M4" t="str">
        <f>TEXT(Raw_Data[[#This Row],[Data zamów. (Order date)]], "MMMM")</f>
        <v>maj</v>
      </c>
      <c r="N4">
        <f>IF(Processed_data[[#This Row],[Miesiąc (Month)]]&lt;=3,1,IF(Processed_data[[#This Row],[Miesiąc (Month)]]&lt;=6,2,IF(Processed_data[[#This Row],[Miesiąc (Month)]]&lt;=9,3,4)))</f>
        <v>2</v>
      </c>
    </row>
    <row r="5" spans="1:14" x14ac:dyDescent="0.25">
      <c r="A5" s="6" t="str">
        <f>Raw_Data[[#This Row],[ID zamów. (Order ID)]]</f>
        <v>ORD0004</v>
      </c>
      <c r="B5" s="6" t="str">
        <f>Raw_Data[[#This Row],[ID klienta (Client ID)]]</f>
        <v>CUST7053</v>
      </c>
      <c r="C5" s="6" t="str">
        <f>_xlfn.XLOOKUP(Raw_Data[[#This Row],[Produkt (Product)]],'Product lookup table'!$A$2:$A$20,'Product lookup table'!$B$2:$B$20)</f>
        <v>Elektronika</v>
      </c>
      <c r="D5" s="6" t="str">
        <f>Raw_Data[[#This Row],[Produkt (Product)]]</f>
        <v>Powerbank</v>
      </c>
      <c r="E5" s="6" t="str">
        <f>Raw_Data[[#This Row],[Kanał sprzedaży (Marketplace)]]</f>
        <v>Amazon</v>
      </c>
      <c r="F5" s="6" t="str">
        <f>Raw_Data[[#This Row],[Miasto (City)]]</f>
        <v>Gdańsk</v>
      </c>
      <c r="G5" s="6">
        <f>Raw_Data[[#This Row],[Ilość (Quant.)]]</f>
        <v>1</v>
      </c>
      <c r="H5" s="7">
        <f>Raw_Data[[#This Row],[Przychód brutto (Revenue)]]</f>
        <v>99.620434782608697</v>
      </c>
      <c r="I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7.6659826086956535</v>
      </c>
      <c r="J5" s="23">
        <f>Processed_data[[#This Row],[Zysk brutto
(Gross profit)]]/Processed_data[[#This Row],[Przychód brutto (Revenue)]]</f>
        <v>7.6951908766753827E-2</v>
      </c>
      <c r="K5" t="str">
        <f>IF(Processed_data[[#This Row],[Marża (Margin)]]&gt;0.6,"wysoka",IF(Processed_data[[#This Row],[Marża (Margin)]]&gt;0.3,"średnia","niska"))</f>
        <v>niska</v>
      </c>
      <c r="L5">
        <f>MONTH(Raw_Data[[#This Row],[Data zamów. (Order date)]])</f>
        <v>2</v>
      </c>
      <c r="M5" t="str">
        <f>TEXT(Raw_Data[[#This Row],[Data zamów. (Order date)]], "MMMM")</f>
        <v>luty</v>
      </c>
      <c r="N5">
        <f>IF(Processed_data[[#This Row],[Miesiąc (Month)]]&lt;=3,1,IF(Processed_data[[#This Row],[Miesiąc (Month)]]&lt;=6,2,IF(Processed_data[[#This Row],[Miesiąc (Month)]]&lt;=9,3,4)))</f>
        <v>1</v>
      </c>
    </row>
    <row r="6" spans="1:14" x14ac:dyDescent="0.25">
      <c r="A6" s="6" t="str">
        <f>Raw_Data[[#This Row],[ID zamów. (Order ID)]]</f>
        <v>ORD0005</v>
      </c>
      <c r="B6" s="6" t="str">
        <f>Raw_Data[[#This Row],[ID klienta (Client ID)]]</f>
        <v>CUST3810</v>
      </c>
      <c r="C6" s="6" t="str">
        <f>_xlfn.XLOOKUP(Raw_Data[[#This Row],[Produkt (Product)]],'Product lookup table'!$A$2:$A$20,'Product lookup table'!$B$2:$B$20)</f>
        <v>Outdoor</v>
      </c>
      <c r="D6" s="6" t="str">
        <f>Raw_Data[[#This Row],[Produkt (Product)]]</f>
        <v>Buty trekkingowe</v>
      </c>
      <c r="E6" s="6" t="str">
        <f>Raw_Data[[#This Row],[Kanał sprzedaży (Marketplace)]]</f>
        <v>Amazon</v>
      </c>
      <c r="F6" s="6" t="str">
        <f>Raw_Data[[#This Row],[Miasto (City)]]</f>
        <v>Poznań</v>
      </c>
      <c r="G6" s="6">
        <f>Raw_Data[[#This Row],[Ilość (Quant.)]]</f>
        <v>2</v>
      </c>
      <c r="H6" s="7">
        <f>Raw_Data[[#This Row],[Przychód brutto (Revenue)]]</f>
        <v>1019.6514285714285</v>
      </c>
      <c r="I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277.2932571428571</v>
      </c>
      <c r="J6" s="23">
        <f>Processed_data[[#This Row],[Zysk brutto
(Gross profit)]]/Processed_data[[#This Row],[Przychód brutto (Revenue)]]</f>
        <v>0.27194906942988917</v>
      </c>
      <c r="K6" t="str">
        <f>IF(Processed_data[[#This Row],[Marża (Margin)]]&gt;0.6,"wysoka",IF(Processed_data[[#This Row],[Marża (Margin)]]&gt;0.3,"średnia","niska"))</f>
        <v>niska</v>
      </c>
      <c r="L6">
        <f>MONTH(Raw_Data[[#This Row],[Data zamów. (Order date)]])</f>
        <v>11</v>
      </c>
      <c r="M6" t="str">
        <f>TEXT(Raw_Data[[#This Row],[Data zamów. (Order date)]], "MMMM")</f>
        <v>listopad</v>
      </c>
      <c r="N6">
        <f>IF(Processed_data[[#This Row],[Miesiąc (Month)]]&lt;=3,1,IF(Processed_data[[#This Row],[Miesiąc (Month)]]&lt;=6,2,IF(Processed_data[[#This Row],[Miesiąc (Month)]]&lt;=9,3,4)))</f>
        <v>4</v>
      </c>
    </row>
    <row r="7" spans="1:14" x14ac:dyDescent="0.25">
      <c r="A7" s="6" t="str">
        <f>Raw_Data[[#This Row],[ID zamów. (Order ID)]]</f>
        <v>ORD0006</v>
      </c>
      <c r="B7" s="6" t="str">
        <f>Raw_Data[[#This Row],[ID klienta (Client ID)]]</f>
        <v>CUST3810</v>
      </c>
      <c r="C7" s="6" t="str">
        <f>_xlfn.XLOOKUP(Raw_Data[[#This Row],[Produkt (Product)]],'Product lookup table'!$A$2:$A$20,'Product lookup table'!$B$2:$B$20)</f>
        <v>Kosmetyki</v>
      </c>
      <c r="D7" s="6" t="str">
        <f>Raw_Data[[#This Row],[Produkt (Product)]]</f>
        <v>Szampon</v>
      </c>
      <c r="E7" s="6" t="str">
        <f>Raw_Data[[#This Row],[Kanał sprzedaży (Marketplace)]]</f>
        <v>Allegro</v>
      </c>
      <c r="F7" s="6" t="str">
        <f>Raw_Data[[#This Row],[Miasto (City)]]</f>
        <v>Poznań</v>
      </c>
      <c r="G7" s="6">
        <f>Raw_Data[[#This Row],[Ilość (Quant.)]]</f>
        <v>5</v>
      </c>
      <c r="H7" s="7">
        <f>Raw_Data[[#This Row],[Przychód brutto (Revenue)]]</f>
        <v>36.575000000000003</v>
      </c>
      <c r="I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16.149000000000001</v>
      </c>
      <c r="J7" s="23">
        <f>Processed_data[[#This Row],[Zysk brutto
(Gross profit)]]/Processed_data[[#This Row],[Przychód brutto (Revenue)]]</f>
        <v>0.44153110047846889</v>
      </c>
      <c r="K7" t="str">
        <f>IF(Processed_data[[#This Row],[Marża (Margin)]]&gt;0.6,"wysoka",IF(Processed_data[[#This Row],[Marża (Margin)]]&gt;0.3,"średnia","niska"))</f>
        <v>średnia</v>
      </c>
      <c r="L7">
        <f>MONTH(Raw_Data[[#This Row],[Data zamów. (Order date)]])</f>
        <v>10</v>
      </c>
      <c r="M7" t="str">
        <f>TEXT(Raw_Data[[#This Row],[Data zamów. (Order date)]], "MMMM")</f>
        <v>październik</v>
      </c>
      <c r="N7">
        <f>IF(Processed_data[[#This Row],[Miesiąc (Month)]]&lt;=3,1,IF(Processed_data[[#This Row],[Miesiąc (Month)]]&lt;=6,2,IF(Processed_data[[#This Row],[Miesiąc (Month)]]&lt;=9,3,4)))</f>
        <v>4</v>
      </c>
    </row>
    <row r="8" spans="1:14" x14ac:dyDescent="0.25">
      <c r="A8" s="6" t="str">
        <f>Raw_Data[[#This Row],[ID zamów. (Order ID)]]</f>
        <v>ORD0007</v>
      </c>
      <c r="B8" s="6" t="str">
        <f>Raw_Data[[#This Row],[ID klienta (Client ID)]]</f>
        <v>CUST3810</v>
      </c>
      <c r="C8" s="6" t="str">
        <f>_xlfn.XLOOKUP(Raw_Data[[#This Row],[Produkt (Product)]],'Product lookup table'!$A$2:$A$20,'Product lookup table'!$B$2:$B$20)</f>
        <v>Home</v>
      </c>
      <c r="D8" s="6" t="str">
        <f>Raw_Data[[#This Row],[Produkt (Product)]]</f>
        <v>Świeca zapachowa</v>
      </c>
      <c r="E8" s="6" t="str">
        <f>Raw_Data[[#This Row],[Kanał sprzedaży (Marketplace)]]</f>
        <v>Allegro</v>
      </c>
      <c r="F8" s="6" t="str">
        <f>Raw_Data[[#This Row],[Miasto (City)]]</f>
        <v>Poznań</v>
      </c>
      <c r="G8" s="6">
        <f>Raw_Data[[#This Row],[Ilość (Quant.)]]</f>
        <v>4</v>
      </c>
      <c r="H8" s="7">
        <f>Raw_Data[[#This Row],[Przychód brutto (Revenue)]]</f>
        <v>187.23272727272729</v>
      </c>
      <c r="I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92.254109090909111</v>
      </c>
      <c r="J8" s="23">
        <f>Processed_data[[#This Row],[Zysk brutto
(Gross profit)]]/Processed_data[[#This Row],[Przychód brutto (Revenue)]]</f>
        <v>0.49272427120355811</v>
      </c>
      <c r="K8" t="str">
        <f>IF(Processed_data[[#This Row],[Marża (Margin)]]&gt;0.6,"wysoka",IF(Processed_data[[#This Row],[Marża (Margin)]]&gt;0.3,"średnia","niska"))</f>
        <v>średnia</v>
      </c>
      <c r="L8">
        <f>MONTH(Raw_Data[[#This Row],[Data zamów. (Order date)]])</f>
        <v>5</v>
      </c>
      <c r="M8" t="str">
        <f>TEXT(Raw_Data[[#This Row],[Data zamów. (Order date)]], "MMMM")</f>
        <v>maj</v>
      </c>
      <c r="N8">
        <f>IF(Processed_data[[#This Row],[Miesiąc (Month)]]&lt;=3,1,IF(Processed_data[[#This Row],[Miesiąc (Month)]]&lt;=6,2,IF(Processed_data[[#This Row],[Miesiąc (Month)]]&lt;=9,3,4)))</f>
        <v>2</v>
      </c>
    </row>
    <row r="9" spans="1:14" x14ac:dyDescent="0.25">
      <c r="A9" s="6" t="str">
        <f>Raw_Data[[#This Row],[ID zamów. (Order ID)]]</f>
        <v>ORD0008</v>
      </c>
      <c r="B9" s="6" t="str">
        <f>Raw_Data[[#This Row],[ID klienta (Client ID)]]</f>
        <v>CUST3810</v>
      </c>
      <c r="C9" s="6" t="str">
        <f>_xlfn.XLOOKUP(Raw_Data[[#This Row],[Produkt (Product)]],'Product lookup table'!$A$2:$A$20,'Product lookup table'!$B$2:$B$20)</f>
        <v>Kosmetyki</v>
      </c>
      <c r="D9" s="6" t="str">
        <f>Raw_Data[[#This Row],[Produkt (Product)]]</f>
        <v>Krem do twarzy</v>
      </c>
      <c r="E9" s="6" t="str">
        <f>Raw_Data[[#This Row],[Kanał sprzedaży (Marketplace)]]</f>
        <v>Amazon</v>
      </c>
      <c r="F9" s="6" t="str">
        <f>Raw_Data[[#This Row],[Miasto (City)]]</f>
        <v>Poznań</v>
      </c>
      <c r="G9" s="6">
        <f>Raw_Data[[#This Row],[Ilość (Quant.)]]</f>
        <v>1</v>
      </c>
      <c r="H9" s="7">
        <f>Raw_Data[[#This Row],[Przychód brutto (Revenue)]]</f>
        <v>51.369277777777782</v>
      </c>
      <c r="I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20.20496444444445</v>
      </c>
      <c r="J9" s="23">
        <f>Processed_data[[#This Row],[Zysk brutto
(Gross profit)]]/Processed_data[[#This Row],[Przychód brutto (Revenue)]]</f>
        <v>0.39332778887510594</v>
      </c>
      <c r="K9" t="str">
        <f>IF(Processed_data[[#This Row],[Marża (Margin)]]&gt;0.6,"wysoka",IF(Processed_data[[#This Row],[Marża (Margin)]]&gt;0.3,"średnia","niska"))</f>
        <v>średnia</v>
      </c>
      <c r="L9">
        <f>MONTH(Raw_Data[[#This Row],[Data zamów. (Order date)]])</f>
        <v>4</v>
      </c>
      <c r="M9" t="str">
        <f>TEXT(Raw_Data[[#This Row],[Data zamów. (Order date)]], "MMMM")</f>
        <v>kwiecień</v>
      </c>
      <c r="N9">
        <f>IF(Processed_data[[#This Row],[Miesiąc (Month)]]&lt;=3,1,IF(Processed_data[[#This Row],[Miesiąc (Month)]]&lt;=6,2,IF(Processed_data[[#This Row],[Miesiąc (Month)]]&lt;=9,3,4)))</f>
        <v>2</v>
      </c>
    </row>
    <row r="10" spans="1:14" x14ac:dyDescent="0.25">
      <c r="A10" s="6" t="str">
        <f>Raw_Data[[#This Row],[ID zamów. (Order ID)]]</f>
        <v>ORD0009</v>
      </c>
      <c r="B10" s="6" t="str">
        <f>Raw_Data[[#This Row],[ID klienta (Client ID)]]</f>
        <v>CUST3810</v>
      </c>
      <c r="C10" s="6" t="str">
        <f>_xlfn.XLOOKUP(Raw_Data[[#This Row],[Produkt (Product)]],'Product lookup table'!$A$2:$A$20,'Product lookup table'!$B$2:$B$20)</f>
        <v>Kosmetyki</v>
      </c>
      <c r="D10" s="6" t="str">
        <f>Raw_Data[[#This Row],[Produkt (Product)]]</f>
        <v>Serum</v>
      </c>
      <c r="E10" s="6" t="str">
        <f>Raw_Data[[#This Row],[Kanał sprzedaży (Marketplace)]]</f>
        <v>Amazon</v>
      </c>
      <c r="F10" s="6" t="str">
        <f>Raw_Data[[#This Row],[Miasto (City)]]</f>
        <v>Poznań</v>
      </c>
      <c r="G10" s="6">
        <f>Raw_Data[[#This Row],[Ilość (Quant.)]]</f>
        <v>4</v>
      </c>
      <c r="H10" s="7">
        <f>Raw_Data[[#This Row],[Przychód brutto (Revenue)]]</f>
        <v>330.66333333333336</v>
      </c>
      <c r="I1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170.98373333333336</v>
      </c>
      <c r="J10" s="23">
        <f>Processed_data[[#This Row],[Zysk brutto
(Gross profit)]]/Processed_data[[#This Row],[Przychód brutto (Revenue)]]</f>
        <v>0.51709311585802287</v>
      </c>
      <c r="K10" t="str">
        <f>IF(Processed_data[[#This Row],[Marża (Margin)]]&gt;0.6,"wysoka",IF(Processed_data[[#This Row],[Marża (Margin)]]&gt;0.3,"średnia","niska"))</f>
        <v>średnia</v>
      </c>
      <c r="L10">
        <f>MONTH(Raw_Data[[#This Row],[Data zamów. (Order date)]])</f>
        <v>8</v>
      </c>
      <c r="M10" t="str">
        <f>TEXT(Raw_Data[[#This Row],[Data zamów. (Order date)]], "MMMM")</f>
        <v>sierpień</v>
      </c>
      <c r="N10">
        <f>IF(Processed_data[[#This Row],[Miesiąc (Month)]]&lt;=3,1,IF(Processed_data[[#This Row],[Miesiąc (Month)]]&lt;=6,2,IF(Processed_data[[#This Row],[Miesiąc (Month)]]&lt;=9,3,4)))</f>
        <v>3</v>
      </c>
    </row>
    <row r="11" spans="1:14" x14ac:dyDescent="0.25">
      <c r="A11" s="6" t="str">
        <f>Raw_Data[[#This Row],[ID zamów. (Order ID)]]</f>
        <v>ORD0010</v>
      </c>
      <c r="B11" s="6" t="str">
        <f>Raw_Data[[#This Row],[ID klienta (Client ID)]]</f>
        <v>CUST6724</v>
      </c>
      <c r="C11" s="6" t="str">
        <f>_xlfn.XLOOKUP(Raw_Data[[#This Row],[Produkt (Product)]],'Product lookup table'!$A$2:$A$20,'Product lookup table'!$B$2:$B$20)</f>
        <v>Outdoor</v>
      </c>
      <c r="D11" s="6" t="str">
        <f>Raw_Data[[#This Row],[Produkt (Product)]]</f>
        <v>Namiot</v>
      </c>
      <c r="E11" s="6" t="str">
        <f>Raw_Data[[#This Row],[Kanał sprzedaży (Marketplace)]]</f>
        <v>Empik Marketplace</v>
      </c>
      <c r="F11" s="6" t="str">
        <f>Raw_Data[[#This Row],[Miasto (City)]]</f>
        <v>Kraków</v>
      </c>
      <c r="G11" s="6">
        <f>Raw_Data[[#This Row],[Ilość (Quant.)]]</f>
        <v>4</v>
      </c>
      <c r="H11" s="7">
        <f>Raw_Data[[#This Row],[Przychód brutto (Revenue)]]</f>
        <v>2266.8171428571432</v>
      </c>
      <c r="I1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600.13542857142886</v>
      </c>
      <c r="J11" s="23">
        <f>Processed_data[[#This Row],[Zysk brutto
(Gross profit)]]/Processed_data[[#This Row],[Przychód brutto (Revenue)]]</f>
        <v>0.2647480545409171</v>
      </c>
      <c r="K11" t="str">
        <f>IF(Processed_data[[#This Row],[Marża (Margin)]]&gt;0.6,"wysoka",IF(Processed_data[[#This Row],[Marża (Margin)]]&gt;0.3,"średnia","niska"))</f>
        <v>niska</v>
      </c>
      <c r="L11">
        <f>MONTH(Raw_Data[[#This Row],[Data zamów. (Order date)]])</f>
        <v>9</v>
      </c>
      <c r="M11" t="str">
        <f>TEXT(Raw_Data[[#This Row],[Data zamów. (Order date)]], "MMMM")</f>
        <v>wrzesień</v>
      </c>
      <c r="N11">
        <f>IF(Processed_data[[#This Row],[Miesiąc (Month)]]&lt;=3,1,IF(Processed_data[[#This Row],[Miesiąc (Month)]]&lt;=6,2,IF(Processed_data[[#This Row],[Miesiąc (Month)]]&lt;=9,3,4)))</f>
        <v>3</v>
      </c>
    </row>
    <row r="12" spans="1:14" x14ac:dyDescent="0.25">
      <c r="A12" s="6" t="str">
        <f>Raw_Data[[#This Row],[ID zamów. (Order ID)]]</f>
        <v>ORD0011</v>
      </c>
      <c r="B12" s="6" t="str">
        <f>Raw_Data[[#This Row],[ID klienta (Client ID)]]</f>
        <v>CUST6724</v>
      </c>
      <c r="C12" s="6" t="str">
        <f>_xlfn.XLOOKUP(Raw_Data[[#This Row],[Produkt (Product)]],'Product lookup table'!$A$2:$A$20,'Product lookup table'!$B$2:$B$20)</f>
        <v>Kosmetyki</v>
      </c>
      <c r="D12" s="6" t="str">
        <f>Raw_Data[[#This Row],[Produkt (Product)]]</f>
        <v>Paleta cieni</v>
      </c>
      <c r="E12" s="6" t="str">
        <f>Raw_Data[[#This Row],[Kanał sprzedaży (Marketplace)]]</f>
        <v>Allegro</v>
      </c>
      <c r="F12" s="6" t="str">
        <f>Raw_Data[[#This Row],[Miasto (City)]]</f>
        <v>Kraków</v>
      </c>
      <c r="G12" s="6">
        <f>Raw_Data[[#This Row],[Ilość (Quant.)]]</f>
        <v>1</v>
      </c>
      <c r="H12" s="7">
        <f>Raw_Data[[#This Row],[Przychód brutto (Revenue)]]</f>
        <v>88.711000000000013</v>
      </c>
      <c r="I1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41.614120000000014</v>
      </c>
      <c r="J12" s="23">
        <f>Processed_data[[#This Row],[Zysk brutto
(Gross profit)]]/Processed_data[[#This Row],[Przychód brutto (Revenue)]]</f>
        <v>0.46909763163531026</v>
      </c>
      <c r="K12" t="str">
        <f>IF(Processed_data[[#This Row],[Marża (Margin)]]&gt;0.6,"wysoka",IF(Processed_data[[#This Row],[Marża (Margin)]]&gt;0.3,"średnia","niska"))</f>
        <v>średnia</v>
      </c>
      <c r="L12">
        <f>MONTH(Raw_Data[[#This Row],[Data zamów. (Order date)]])</f>
        <v>1</v>
      </c>
      <c r="M12" t="str">
        <f>TEXT(Raw_Data[[#This Row],[Data zamów. (Order date)]], "MMMM")</f>
        <v>styczeń</v>
      </c>
      <c r="N12">
        <f>IF(Processed_data[[#This Row],[Miesiąc (Month)]]&lt;=3,1,IF(Processed_data[[#This Row],[Miesiąc (Month)]]&lt;=6,2,IF(Processed_data[[#This Row],[Miesiąc (Month)]]&lt;=9,3,4)))</f>
        <v>1</v>
      </c>
    </row>
    <row r="13" spans="1:14" x14ac:dyDescent="0.25">
      <c r="A13" s="6" t="str">
        <f>Raw_Data[[#This Row],[ID zamów. (Order ID)]]</f>
        <v>ORD0012</v>
      </c>
      <c r="B13" s="6" t="str">
        <f>Raw_Data[[#This Row],[ID klienta (Client ID)]]</f>
        <v>CUST6724</v>
      </c>
      <c r="C13" s="6" t="str">
        <f>_xlfn.XLOOKUP(Raw_Data[[#This Row],[Produkt (Product)]],'Product lookup table'!$A$2:$A$20,'Product lookup table'!$B$2:$B$20)</f>
        <v>Home</v>
      </c>
      <c r="D13" s="6" t="str">
        <f>Raw_Data[[#This Row],[Produkt (Product)]]</f>
        <v>Poduszka dekoracyjna</v>
      </c>
      <c r="E13" s="6" t="str">
        <f>Raw_Data[[#This Row],[Kanał sprzedaży (Marketplace)]]</f>
        <v>Amazon</v>
      </c>
      <c r="F13" s="6" t="str">
        <f>Raw_Data[[#This Row],[Miasto (City)]]</f>
        <v>Kraków</v>
      </c>
      <c r="G13" s="6">
        <f>Raw_Data[[#This Row],[Ilość (Quant.)]]</f>
        <v>4</v>
      </c>
      <c r="H13" s="7">
        <f>Raw_Data[[#This Row],[Przychód brutto (Revenue)]]</f>
        <v>197.21890909090911</v>
      </c>
      <c r="I1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53.552640000000011</v>
      </c>
      <c r="J13" s="23">
        <f>Processed_data[[#This Row],[Zysk brutto
(Gross profit)]]/Processed_data[[#This Row],[Przychód brutto (Revenue)]]</f>
        <v>0.2715390742543588</v>
      </c>
      <c r="K13" t="str">
        <f>IF(Processed_data[[#This Row],[Marża (Margin)]]&gt;0.6,"wysoka",IF(Processed_data[[#This Row],[Marża (Margin)]]&gt;0.3,"średnia","niska"))</f>
        <v>niska</v>
      </c>
      <c r="L13">
        <f>MONTH(Raw_Data[[#This Row],[Data zamów. (Order date)]])</f>
        <v>12</v>
      </c>
      <c r="M13" t="str">
        <f>TEXT(Raw_Data[[#This Row],[Data zamów. (Order date)]], "MMMM")</f>
        <v>grudzień</v>
      </c>
      <c r="N13">
        <f>IF(Processed_data[[#This Row],[Miesiąc (Month)]]&lt;=3,1,IF(Processed_data[[#This Row],[Miesiąc (Month)]]&lt;=6,2,IF(Processed_data[[#This Row],[Miesiąc (Month)]]&lt;=9,3,4)))</f>
        <v>4</v>
      </c>
    </row>
    <row r="14" spans="1:14" x14ac:dyDescent="0.25">
      <c r="A14" s="6" t="str">
        <f>Raw_Data[[#This Row],[ID zamów. (Order ID)]]</f>
        <v>ORD0013</v>
      </c>
      <c r="B14" s="6" t="str">
        <f>Raw_Data[[#This Row],[ID klienta (Client ID)]]</f>
        <v>CUST2762</v>
      </c>
      <c r="C14" s="6" t="str">
        <f>_xlfn.XLOOKUP(Raw_Data[[#This Row],[Produkt (Product)]],'Product lookup table'!$A$2:$A$20,'Product lookup table'!$B$2:$B$20)</f>
        <v>Kosmetyki</v>
      </c>
      <c r="D14" s="6" t="str">
        <f>Raw_Data[[#This Row],[Produkt (Product)]]</f>
        <v>Serum</v>
      </c>
      <c r="E14" s="6" t="str">
        <f>Raw_Data[[#This Row],[Kanał sprzedaży (Marketplace)]]</f>
        <v>Shopify</v>
      </c>
      <c r="F14" s="6" t="str">
        <f>Raw_Data[[#This Row],[Miasto (City)]]</f>
        <v>Gdańsk</v>
      </c>
      <c r="G14" s="6">
        <f>Raw_Data[[#This Row],[Ilość (Quant.)]]</f>
        <v>5</v>
      </c>
      <c r="H14" s="7">
        <f>Raw_Data[[#This Row],[Przychód brutto (Revenue)]]</f>
        <v>417.39833333333343</v>
      </c>
      <c r="I1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267.39833333333343</v>
      </c>
      <c r="J14" s="23">
        <f>Processed_data[[#This Row],[Zysk brutto
(Gross profit)]]/Processed_data[[#This Row],[Przychód brutto (Revenue)]]</f>
        <v>0.64063105187291125</v>
      </c>
      <c r="K14" t="str">
        <f>IF(Processed_data[[#This Row],[Marża (Margin)]]&gt;0.6,"wysoka",IF(Processed_data[[#This Row],[Marża (Margin)]]&gt;0.3,"średnia","niska"))</f>
        <v>wysoka</v>
      </c>
      <c r="L14">
        <f>MONTH(Raw_Data[[#This Row],[Data zamów. (Order date)]])</f>
        <v>11</v>
      </c>
      <c r="M14" t="str">
        <f>TEXT(Raw_Data[[#This Row],[Data zamów. (Order date)]], "MMMM")</f>
        <v>listopad</v>
      </c>
      <c r="N14">
        <f>IF(Processed_data[[#This Row],[Miesiąc (Month)]]&lt;=3,1,IF(Processed_data[[#This Row],[Miesiąc (Month)]]&lt;=6,2,IF(Processed_data[[#This Row],[Miesiąc (Month)]]&lt;=9,3,4)))</f>
        <v>4</v>
      </c>
    </row>
    <row r="15" spans="1:14" x14ac:dyDescent="0.25">
      <c r="A15" s="6" t="str">
        <f>Raw_Data[[#This Row],[ID zamów. (Order ID)]]</f>
        <v>ORD0014</v>
      </c>
      <c r="B15" s="6" t="str">
        <f>Raw_Data[[#This Row],[ID klienta (Client ID)]]</f>
        <v>CUST6724</v>
      </c>
      <c r="C15" s="6" t="str">
        <f>_xlfn.XLOOKUP(Raw_Data[[#This Row],[Produkt (Product)]],'Product lookup table'!$A$2:$A$20,'Product lookup table'!$B$2:$B$20)</f>
        <v>Home</v>
      </c>
      <c r="D15" s="6" t="str">
        <f>Raw_Data[[#This Row],[Produkt (Product)]]</f>
        <v>Wazon szklany</v>
      </c>
      <c r="E15" s="6" t="str">
        <f>Raw_Data[[#This Row],[Kanał sprzedaży (Marketplace)]]</f>
        <v>Allegro</v>
      </c>
      <c r="F15" s="6" t="str">
        <f>Raw_Data[[#This Row],[Miasto (City)]]</f>
        <v>Kraków</v>
      </c>
      <c r="G15" s="6">
        <f>Raw_Data[[#This Row],[Ilość (Quant.)]]</f>
        <v>1</v>
      </c>
      <c r="H15" s="7">
        <f>Raw_Data[[#This Row],[Przychód brutto (Revenue)]]</f>
        <v>31.613727272727278</v>
      </c>
      <c r="I1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14.084629090909097</v>
      </c>
      <c r="J15" s="23">
        <f>Processed_data[[#This Row],[Zysk brutto
(Gross profit)]]/Processed_data[[#This Row],[Przychód brutto (Revenue)]]</f>
        <v>0.44552257218527058</v>
      </c>
      <c r="K15" t="str">
        <f>IF(Processed_data[[#This Row],[Marża (Margin)]]&gt;0.6,"wysoka",IF(Processed_data[[#This Row],[Marża (Margin)]]&gt;0.3,"średnia","niska"))</f>
        <v>średnia</v>
      </c>
      <c r="L15">
        <f>MONTH(Raw_Data[[#This Row],[Data zamów. (Order date)]])</f>
        <v>2</v>
      </c>
      <c r="M15" t="str">
        <f>TEXT(Raw_Data[[#This Row],[Data zamów. (Order date)]], "MMMM")</f>
        <v>luty</v>
      </c>
      <c r="N15">
        <f>IF(Processed_data[[#This Row],[Miesiąc (Month)]]&lt;=3,1,IF(Processed_data[[#This Row],[Miesiąc (Month)]]&lt;=6,2,IF(Processed_data[[#This Row],[Miesiąc (Month)]]&lt;=9,3,4)))</f>
        <v>1</v>
      </c>
    </row>
    <row r="16" spans="1:14" x14ac:dyDescent="0.25">
      <c r="A16" s="6" t="str">
        <f>Raw_Data[[#This Row],[ID zamów. (Order ID)]]</f>
        <v>ORD0015</v>
      </c>
      <c r="B16" s="6" t="str">
        <f>Raw_Data[[#This Row],[ID klienta (Client ID)]]</f>
        <v>CUST4965</v>
      </c>
      <c r="C16" s="6" t="str">
        <f>_xlfn.XLOOKUP(Raw_Data[[#This Row],[Produkt (Product)]],'Product lookup table'!$A$2:$A$20,'Product lookup table'!$B$2:$B$20)</f>
        <v>Home</v>
      </c>
      <c r="D16" s="6" t="str">
        <f>Raw_Data[[#This Row],[Produkt (Product)]]</f>
        <v>Kubek</v>
      </c>
      <c r="E16" s="6" t="str">
        <f>Raw_Data[[#This Row],[Kanał sprzedaży (Marketplace)]]</f>
        <v>Empik Marketplace</v>
      </c>
      <c r="F16" s="6" t="str">
        <f>Raw_Data[[#This Row],[Miasto (City)]]</f>
        <v>Warszawa</v>
      </c>
      <c r="G16" s="6">
        <f>Raw_Data[[#This Row],[Ilość (Quant.)]]</f>
        <v>3</v>
      </c>
      <c r="H16" s="7">
        <f>Raw_Data[[#This Row],[Przychód brutto (Revenue)]]</f>
        <v>54.095590909090895</v>
      </c>
      <c r="I1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21.686031818181803</v>
      </c>
      <c r="J16" s="23">
        <f>Processed_data[[#This Row],[Zysk brutto
(Gross profit)]]/Processed_data[[#This Row],[Przychód brutto (Revenue)]]</f>
        <v>0.40088353697116957</v>
      </c>
      <c r="K16" t="str">
        <f>IF(Processed_data[[#This Row],[Marża (Margin)]]&gt;0.6,"wysoka",IF(Processed_data[[#This Row],[Marża (Margin)]]&gt;0.3,"średnia","niska"))</f>
        <v>średnia</v>
      </c>
      <c r="L16">
        <f>MONTH(Raw_Data[[#This Row],[Data zamów. (Order date)]])</f>
        <v>7</v>
      </c>
      <c r="M16" t="str">
        <f>TEXT(Raw_Data[[#This Row],[Data zamów. (Order date)]], "MMMM")</f>
        <v>lipiec</v>
      </c>
      <c r="N16">
        <f>IF(Processed_data[[#This Row],[Miesiąc (Month)]]&lt;=3,1,IF(Processed_data[[#This Row],[Miesiąc (Month)]]&lt;=6,2,IF(Processed_data[[#This Row],[Miesiąc (Month)]]&lt;=9,3,4)))</f>
        <v>3</v>
      </c>
    </row>
    <row r="17" spans="1:14" x14ac:dyDescent="0.25">
      <c r="A17" s="6" t="str">
        <f>Raw_Data[[#This Row],[ID zamów. (Order ID)]]</f>
        <v>ORD0016</v>
      </c>
      <c r="B17" s="6" t="str">
        <f>Raw_Data[[#This Row],[ID klienta (Client ID)]]</f>
        <v>CUST4965</v>
      </c>
      <c r="C17" s="6" t="str">
        <f>_xlfn.XLOOKUP(Raw_Data[[#This Row],[Produkt (Product)]],'Product lookup table'!$A$2:$A$20,'Product lookup table'!$B$2:$B$20)</f>
        <v>Elektronika</v>
      </c>
      <c r="D17" s="6" t="str">
        <f>Raw_Data[[#This Row],[Produkt (Product)]]</f>
        <v>Klawiatura</v>
      </c>
      <c r="E17" s="6" t="str">
        <f>Raw_Data[[#This Row],[Kanał sprzedaży (Marketplace)]]</f>
        <v>Allegro</v>
      </c>
      <c r="F17" s="6" t="str">
        <f>Raw_Data[[#This Row],[Miasto (City)]]</f>
        <v>Warszawa</v>
      </c>
      <c r="G17" s="6">
        <f>Raw_Data[[#This Row],[Ilość (Quant.)]]</f>
        <v>3</v>
      </c>
      <c r="H17" s="7">
        <f>Raw_Data[[#This Row],[Przychód brutto (Revenue)]]</f>
        <v>396.18521739130432</v>
      </c>
      <c r="I1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34.490399999999973</v>
      </c>
      <c r="J17" s="23">
        <f>Processed_data[[#This Row],[Zysk brutto
(Gross profit)]]/Processed_data[[#This Row],[Przychód brutto (Revenue)]]</f>
        <v>8.7056251687287173E-2</v>
      </c>
      <c r="K17" t="str">
        <f>IF(Processed_data[[#This Row],[Marża (Margin)]]&gt;0.6,"wysoka",IF(Processed_data[[#This Row],[Marża (Margin)]]&gt;0.3,"średnia","niska"))</f>
        <v>niska</v>
      </c>
      <c r="L17">
        <f>MONTH(Raw_Data[[#This Row],[Data zamów. (Order date)]])</f>
        <v>12</v>
      </c>
      <c r="M17" t="str">
        <f>TEXT(Raw_Data[[#This Row],[Data zamów. (Order date)]], "MMMM")</f>
        <v>grudzień</v>
      </c>
      <c r="N17">
        <f>IF(Processed_data[[#This Row],[Miesiąc (Month)]]&lt;=3,1,IF(Processed_data[[#This Row],[Miesiąc (Month)]]&lt;=6,2,IF(Processed_data[[#This Row],[Miesiąc (Month)]]&lt;=9,3,4)))</f>
        <v>4</v>
      </c>
    </row>
    <row r="18" spans="1:14" x14ac:dyDescent="0.25">
      <c r="A18" s="6" t="str">
        <f>Raw_Data[[#This Row],[ID zamów. (Order ID)]]</f>
        <v>ORD0017</v>
      </c>
      <c r="B18" s="6" t="str">
        <f>Raw_Data[[#This Row],[ID klienta (Client ID)]]</f>
        <v>CUST4965</v>
      </c>
      <c r="C18" s="6" t="str">
        <f>_xlfn.XLOOKUP(Raw_Data[[#This Row],[Produkt (Product)]],'Product lookup table'!$A$2:$A$20,'Product lookup table'!$B$2:$B$20)</f>
        <v>Kosmetyki</v>
      </c>
      <c r="D18" s="6" t="str">
        <f>Raw_Data[[#This Row],[Produkt (Product)]]</f>
        <v>Olejek</v>
      </c>
      <c r="E18" s="6" t="str">
        <f>Raw_Data[[#This Row],[Kanał sprzedaży (Marketplace)]]</f>
        <v>Amazon</v>
      </c>
      <c r="F18" s="6" t="str">
        <f>Raw_Data[[#This Row],[Miasto (City)]]</f>
        <v>Warszawa</v>
      </c>
      <c r="G18" s="6">
        <f>Raw_Data[[#This Row],[Ilość (Quant.)]]</f>
        <v>5</v>
      </c>
      <c r="H18" s="7">
        <f>Raw_Data[[#This Row],[Przychód brutto (Revenue)]]</f>
        <v>57.861111111111107</v>
      </c>
      <c r="I1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25.917777777777776</v>
      </c>
      <c r="J18" s="23">
        <f>Processed_data[[#This Row],[Zysk brutto
(Gross profit)]]/Processed_data[[#This Row],[Przychód brutto (Revenue)]]</f>
        <v>0.44793086893903022</v>
      </c>
      <c r="K18" t="str">
        <f>IF(Processed_data[[#This Row],[Marża (Margin)]]&gt;0.6,"wysoka",IF(Processed_data[[#This Row],[Marża (Margin)]]&gt;0.3,"średnia","niska"))</f>
        <v>średnia</v>
      </c>
      <c r="L18">
        <f>MONTH(Raw_Data[[#This Row],[Data zamów. (Order date)]])</f>
        <v>2</v>
      </c>
      <c r="M18" t="str">
        <f>TEXT(Raw_Data[[#This Row],[Data zamów. (Order date)]], "MMMM")</f>
        <v>luty</v>
      </c>
      <c r="N18">
        <f>IF(Processed_data[[#This Row],[Miesiąc (Month)]]&lt;=3,1,IF(Processed_data[[#This Row],[Miesiąc (Month)]]&lt;=6,2,IF(Processed_data[[#This Row],[Miesiąc (Month)]]&lt;=9,3,4)))</f>
        <v>1</v>
      </c>
    </row>
    <row r="19" spans="1:14" x14ac:dyDescent="0.25">
      <c r="A19" s="6" t="str">
        <f>Raw_Data[[#This Row],[ID zamów. (Order ID)]]</f>
        <v>ORD0018</v>
      </c>
      <c r="B19" s="6" t="str">
        <f>Raw_Data[[#This Row],[ID klienta (Client ID)]]</f>
        <v>CUST1876</v>
      </c>
      <c r="C19" s="6" t="str">
        <f>_xlfn.XLOOKUP(Raw_Data[[#This Row],[Produkt (Product)]],'Product lookup table'!$A$2:$A$20,'Product lookup table'!$B$2:$B$20)</f>
        <v>Outdoor</v>
      </c>
      <c r="D19" s="6" t="str">
        <f>Raw_Data[[#This Row],[Produkt (Product)]]</f>
        <v>Śpiwór</v>
      </c>
      <c r="E19" s="6" t="str">
        <f>Raw_Data[[#This Row],[Kanał sprzedaży (Marketplace)]]</f>
        <v>Allegro</v>
      </c>
      <c r="F19" s="6" t="str">
        <f>Raw_Data[[#This Row],[Miasto (City)]]</f>
        <v>Wrocław</v>
      </c>
      <c r="G19" s="6">
        <f>Raw_Data[[#This Row],[Ilość (Quant.)]]</f>
        <v>5</v>
      </c>
      <c r="H19" s="7">
        <f>Raw_Data[[#This Row],[Przychód brutto (Revenue)]]</f>
        <v>1931.2714285714287</v>
      </c>
      <c r="I1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426.76971428571437</v>
      </c>
      <c r="J19" s="23">
        <f>Processed_data[[#This Row],[Zysk brutto
(Gross profit)]]/Processed_data[[#This Row],[Przychód brutto (Revenue)]]</f>
        <v>0.22097862991811468</v>
      </c>
      <c r="K19" t="str">
        <f>IF(Processed_data[[#This Row],[Marża (Margin)]]&gt;0.6,"wysoka",IF(Processed_data[[#This Row],[Marża (Margin)]]&gt;0.3,"średnia","niska"))</f>
        <v>niska</v>
      </c>
      <c r="L19">
        <f>MONTH(Raw_Data[[#This Row],[Data zamów. (Order date)]])</f>
        <v>11</v>
      </c>
      <c r="M19" t="str">
        <f>TEXT(Raw_Data[[#This Row],[Data zamów. (Order date)]], "MMMM")</f>
        <v>listopad</v>
      </c>
      <c r="N19">
        <f>IF(Processed_data[[#This Row],[Miesiąc (Month)]]&lt;=3,1,IF(Processed_data[[#This Row],[Miesiąc (Month)]]&lt;=6,2,IF(Processed_data[[#This Row],[Miesiąc (Month)]]&lt;=9,3,4)))</f>
        <v>4</v>
      </c>
    </row>
    <row r="20" spans="1:14" x14ac:dyDescent="0.25">
      <c r="A20" s="6" t="str">
        <f>Raw_Data[[#This Row],[ID zamów. (Order ID)]]</f>
        <v>ORD0019</v>
      </c>
      <c r="B20" s="6" t="str">
        <f>Raw_Data[[#This Row],[ID klienta (Client ID)]]</f>
        <v>CUST1876</v>
      </c>
      <c r="C20" s="6" t="str">
        <f>_xlfn.XLOOKUP(Raw_Data[[#This Row],[Produkt (Product)]],'Product lookup table'!$A$2:$A$20,'Product lookup table'!$B$2:$B$20)</f>
        <v>Kosmetyki</v>
      </c>
      <c r="D20" s="6" t="str">
        <f>Raw_Data[[#This Row],[Produkt (Product)]]</f>
        <v>Żel pod prysznic</v>
      </c>
      <c r="E20" s="6" t="str">
        <f>Raw_Data[[#This Row],[Kanał sprzedaży (Marketplace)]]</f>
        <v>Amazon</v>
      </c>
      <c r="F20" s="6" t="str">
        <f>Raw_Data[[#This Row],[Miasto (City)]]</f>
        <v>Wrocław</v>
      </c>
      <c r="G20" s="6">
        <f>Raw_Data[[#This Row],[Ilość (Quant.)]]</f>
        <v>3</v>
      </c>
      <c r="H20" s="7">
        <f>Raw_Data[[#This Row],[Przychód brutto (Revenue)]]</f>
        <v>18.8765</v>
      </c>
      <c r="I2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9.1113199999999992</v>
      </c>
      <c r="J20" s="23">
        <f>Processed_data[[#This Row],[Zysk brutto
(Gross profit)]]/Processed_data[[#This Row],[Przychód brutto (Revenue)]]</f>
        <v>0.48268058167562838</v>
      </c>
      <c r="K20" t="str">
        <f>IF(Processed_data[[#This Row],[Marża (Margin)]]&gt;0.6,"wysoka",IF(Processed_data[[#This Row],[Marża (Margin)]]&gt;0.3,"średnia","niska"))</f>
        <v>średnia</v>
      </c>
      <c r="L20">
        <f>MONTH(Raw_Data[[#This Row],[Data zamów. (Order date)]])</f>
        <v>11</v>
      </c>
      <c r="M20" t="str">
        <f>TEXT(Raw_Data[[#This Row],[Data zamów. (Order date)]], "MMMM")</f>
        <v>listopad</v>
      </c>
      <c r="N20">
        <f>IF(Processed_data[[#This Row],[Miesiąc (Month)]]&lt;=3,1,IF(Processed_data[[#This Row],[Miesiąc (Month)]]&lt;=6,2,IF(Processed_data[[#This Row],[Miesiąc (Month)]]&lt;=9,3,4)))</f>
        <v>4</v>
      </c>
    </row>
    <row r="21" spans="1:14" x14ac:dyDescent="0.25">
      <c r="A21" s="6" t="str">
        <f>Raw_Data[[#This Row],[ID zamów. (Order ID)]]</f>
        <v>ORD0020</v>
      </c>
      <c r="B21" s="6" t="str">
        <f>Raw_Data[[#This Row],[ID klienta (Client ID)]]</f>
        <v>CUST1876</v>
      </c>
      <c r="C21" s="6" t="str">
        <f>_xlfn.XLOOKUP(Raw_Data[[#This Row],[Produkt (Product)]],'Product lookup table'!$A$2:$A$20,'Product lookup table'!$B$2:$B$20)</f>
        <v>Kosmetyki</v>
      </c>
      <c r="D21" s="6" t="str">
        <f>Raw_Data[[#This Row],[Produkt (Product)]]</f>
        <v>Szampon</v>
      </c>
      <c r="E21" s="6" t="str">
        <f>Raw_Data[[#This Row],[Kanał sprzedaży (Marketplace)]]</f>
        <v>Shopify</v>
      </c>
      <c r="F21" s="6" t="str">
        <f>Raw_Data[[#This Row],[Miasto (City)]]</f>
        <v>Wrocław</v>
      </c>
      <c r="G21" s="6">
        <f>Raw_Data[[#This Row],[Ilość (Quant.)]]</f>
        <v>1</v>
      </c>
      <c r="H21" s="7">
        <f>Raw_Data[[#This Row],[Przychód brutto (Revenue)]]</f>
        <v>11.878888888888888</v>
      </c>
      <c r="I2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8.3788888888888877</v>
      </c>
      <c r="J21" s="23">
        <f>Processed_data[[#This Row],[Zysk brutto
(Gross profit)]]/Processed_data[[#This Row],[Przychód brutto (Revenue)]]</f>
        <v>0.70535964830231035</v>
      </c>
      <c r="K21" t="str">
        <f>IF(Processed_data[[#This Row],[Marża (Margin)]]&gt;0.6,"wysoka",IF(Processed_data[[#This Row],[Marża (Margin)]]&gt;0.3,"średnia","niska"))</f>
        <v>wysoka</v>
      </c>
      <c r="L21">
        <f>MONTH(Raw_Data[[#This Row],[Data zamów. (Order date)]])</f>
        <v>2</v>
      </c>
      <c r="M21" t="str">
        <f>TEXT(Raw_Data[[#This Row],[Data zamów. (Order date)]], "MMMM")</f>
        <v>luty</v>
      </c>
      <c r="N21">
        <f>IF(Processed_data[[#This Row],[Miesiąc (Month)]]&lt;=3,1,IF(Processed_data[[#This Row],[Miesiąc (Month)]]&lt;=6,2,IF(Processed_data[[#This Row],[Miesiąc (Month)]]&lt;=9,3,4)))</f>
        <v>1</v>
      </c>
    </row>
    <row r="22" spans="1:14" x14ac:dyDescent="0.25">
      <c r="A22" s="6" t="str">
        <f>Raw_Data[[#This Row],[ID zamów. (Order ID)]]</f>
        <v>ORD0021</v>
      </c>
      <c r="B22" s="6" t="str">
        <f>Raw_Data[[#This Row],[ID klienta (Client ID)]]</f>
        <v>CUST1876</v>
      </c>
      <c r="C22" s="6" t="str">
        <f>_xlfn.XLOOKUP(Raw_Data[[#This Row],[Produkt (Product)]],'Product lookup table'!$A$2:$A$20,'Product lookup table'!$B$2:$B$20)</f>
        <v>Kosmetyki</v>
      </c>
      <c r="D22" s="6" t="str">
        <f>Raw_Data[[#This Row],[Produkt (Product)]]</f>
        <v>Krem do twarzy</v>
      </c>
      <c r="E22" s="6" t="str">
        <f>Raw_Data[[#This Row],[Kanał sprzedaży (Marketplace)]]</f>
        <v>Empik Marketplace</v>
      </c>
      <c r="F22" s="6" t="str">
        <f>Raw_Data[[#This Row],[Miasto (City)]]</f>
        <v>Wrocław</v>
      </c>
      <c r="G22" s="6">
        <f>Raw_Data[[#This Row],[Ilość (Quant.)]]</f>
        <v>3</v>
      </c>
      <c r="H22" s="7">
        <f>Raw_Data[[#This Row],[Przychód brutto (Revenue)]]</f>
        <v>189.63666666666668</v>
      </c>
      <c r="I2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95.673000000000016</v>
      </c>
      <c r="J22" s="23">
        <f>Processed_data[[#This Row],[Zysk brutto
(Gross profit)]]/Processed_data[[#This Row],[Przychód brutto (Revenue)]]</f>
        <v>0.50450686400309364</v>
      </c>
      <c r="K22" t="str">
        <f>IF(Processed_data[[#This Row],[Marża (Margin)]]&gt;0.6,"wysoka",IF(Processed_data[[#This Row],[Marża (Margin)]]&gt;0.3,"średnia","niska"))</f>
        <v>średnia</v>
      </c>
      <c r="L22">
        <f>MONTH(Raw_Data[[#This Row],[Data zamów. (Order date)]])</f>
        <v>9</v>
      </c>
      <c r="M22" t="str">
        <f>TEXT(Raw_Data[[#This Row],[Data zamów. (Order date)]], "MMMM")</f>
        <v>wrzesień</v>
      </c>
      <c r="N22">
        <f>IF(Processed_data[[#This Row],[Miesiąc (Month)]]&lt;=3,1,IF(Processed_data[[#This Row],[Miesiąc (Month)]]&lt;=6,2,IF(Processed_data[[#This Row],[Miesiąc (Month)]]&lt;=9,3,4)))</f>
        <v>3</v>
      </c>
    </row>
    <row r="23" spans="1:14" x14ac:dyDescent="0.25">
      <c r="A23" s="6" t="str">
        <f>Raw_Data[[#This Row],[ID zamów. (Order ID)]]</f>
        <v>ORD0022</v>
      </c>
      <c r="B23" s="6" t="str">
        <f>Raw_Data[[#This Row],[ID klienta (Client ID)]]</f>
        <v>CUST1876</v>
      </c>
      <c r="C23" s="6" t="str">
        <f>_xlfn.XLOOKUP(Raw_Data[[#This Row],[Produkt (Product)]],'Product lookup table'!$A$2:$A$20,'Product lookup table'!$B$2:$B$20)</f>
        <v>Kosmetyki</v>
      </c>
      <c r="D23" s="6" t="str">
        <f>Raw_Data[[#This Row],[Produkt (Product)]]</f>
        <v>Serum</v>
      </c>
      <c r="E23" s="6" t="str">
        <f>Raw_Data[[#This Row],[Kanał sprzedaży (Marketplace)]]</f>
        <v>Shopify</v>
      </c>
      <c r="F23" s="6" t="str">
        <f>Raw_Data[[#This Row],[Miasto (City)]]</f>
        <v>Wrocław</v>
      </c>
      <c r="G23" s="6">
        <f>Raw_Data[[#This Row],[Ilość (Quant.)]]</f>
        <v>5</v>
      </c>
      <c r="H23" s="7">
        <f>Raw_Data[[#This Row],[Przychód brutto (Revenue)]]</f>
        <v>375.49333333333334</v>
      </c>
      <c r="I2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225.49333333333334</v>
      </c>
      <c r="J23" s="23">
        <f>Processed_data[[#This Row],[Zysk brutto
(Gross profit)]]/Processed_data[[#This Row],[Przychód brutto (Revenue)]]</f>
        <v>0.60052553085718341</v>
      </c>
      <c r="K23" t="str">
        <f>IF(Processed_data[[#This Row],[Marża (Margin)]]&gt;0.6,"wysoka",IF(Processed_data[[#This Row],[Marża (Margin)]]&gt;0.3,"średnia","niska"))</f>
        <v>wysoka</v>
      </c>
      <c r="L23">
        <f>MONTH(Raw_Data[[#This Row],[Data zamów. (Order date)]])</f>
        <v>1</v>
      </c>
      <c r="M23" t="str">
        <f>TEXT(Raw_Data[[#This Row],[Data zamów. (Order date)]], "MMMM")</f>
        <v>styczeń</v>
      </c>
      <c r="N23">
        <f>IF(Processed_data[[#This Row],[Miesiąc (Month)]]&lt;=3,1,IF(Processed_data[[#This Row],[Miesiąc (Month)]]&lt;=6,2,IF(Processed_data[[#This Row],[Miesiąc (Month)]]&lt;=9,3,4)))</f>
        <v>1</v>
      </c>
    </row>
    <row r="24" spans="1:14" x14ac:dyDescent="0.25">
      <c r="A24" s="6" t="str">
        <f>Raw_Data[[#This Row],[ID zamów. (Order ID)]]</f>
        <v>ORD0023</v>
      </c>
      <c r="B24" s="6" t="str">
        <f>Raw_Data[[#This Row],[ID klienta (Client ID)]]</f>
        <v>CUST8574</v>
      </c>
      <c r="C24" s="6" t="str">
        <f>_xlfn.XLOOKUP(Raw_Data[[#This Row],[Produkt (Product)]],'Product lookup table'!$A$2:$A$20,'Product lookup table'!$B$2:$B$20)</f>
        <v>Outdoor</v>
      </c>
      <c r="D24" s="6" t="str">
        <f>Raw_Data[[#This Row],[Produkt (Product)]]</f>
        <v>Latarka</v>
      </c>
      <c r="E24" s="6" t="str">
        <f>Raw_Data[[#This Row],[Kanał sprzedaży (Marketplace)]]</f>
        <v>Shopify</v>
      </c>
      <c r="F24" s="6" t="str">
        <f>Raw_Data[[#This Row],[Miasto (City)]]</f>
        <v>Gdańsk</v>
      </c>
      <c r="G24" s="6">
        <f>Raw_Data[[#This Row],[Ilość (Quant.)]]</f>
        <v>2</v>
      </c>
      <c r="H24" s="7">
        <f>Raw_Data[[#This Row],[Przychód brutto (Revenue)]]</f>
        <v>79.020999999999987</v>
      </c>
      <c r="I2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23.020999999999987</v>
      </c>
      <c r="J24" s="23">
        <f>Processed_data[[#This Row],[Zysk brutto
(Gross profit)]]/Processed_data[[#This Row],[Przychód brutto (Revenue)]]</f>
        <v>0.29132762177142774</v>
      </c>
      <c r="K24" t="str">
        <f>IF(Processed_data[[#This Row],[Marża (Margin)]]&gt;0.6,"wysoka",IF(Processed_data[[#This Row],[Marża (Margin)]]&gt;0.3,"średnia","niska"))</f>
        <v>niska</v>
      </c>
      <c r="L24">
        <f>MONTH(Raw_Data[[#This Row],[Data zamów. (Order date)]])</f>
        <v>5</v>
      </c>
      <c r="M24" t="str">
        <f>TEXT(Raw_Data[[#This Row],[Data zamów. (Order date)]], "MMMM")</f>
        <v>maj</v>
      </c>
      <c r="N24">
        <f>IF(Processed_data[[#This Row],[Miesiąc (Month)]]&lt;=3,1,IF(Processed_data[[#This Row],[Miesiąc (Month)]]&lt;=6,2,IF(Processed_data[[#This Row],[Miesiąc (Month)]]&lt;=9,3,4)))</f>
        <v>2</v>
      </c>
    </row>
    <row r="25" spans="1:14" x14ac:dyDescent="0.25">
      <c r="A25" s="6" t="str">
        <f>Raw_Data[[#This Row],[ID zamów. (Order ID)]]</f>
        <v>ORD0024</v>
      </c>
      <c r="B25" s="6" t="str">
        <f>Raw_Data[[#This Row],[ID klienta (Client ID)]]</f>
        <v>CUST7265</v>
      </c>
      <c r="C25" s="6" t="str">
        <f>_xlfn.XLOOKUP(Raw_Data[[#This Row],[Produkt (Product)]],'Product lookup table'!$A$2:$A$20,'Product lookup table'!$B$2:$B$20)</f>
        <v>Outdoor</v>
      </c>
      <c r="D25" s="6" t="str">
        <f>Raw_Data[[#This Row],[Produkt (Product)]]</f>
        <v>Namiot</v>
      </c>
      <c r="E25" s="6" t="str">
        <f>Raw_Data[[#This Row],[Kanał sprzedaży (Marketplace)]]</f>
        <v>Amazon</v>
      </c>
      <c r="F25" s="6" t="str">
        <f>Raw_Data[[#This Row],[Miasto (City)]]</f>
        <v>Wrocław</v>
      </c>
      <c r="G25" s="6">
        <f>Raw_Data[[#This Row],[Ilość (Quant.)]]</f>
        <v>5</v>
      </c>
      <c r="H25" s="7">
        <f>Raw_Data[[#This Row],[Przychód brutto (Revenue)]]</f>
        <v>2909.6642857142851</v>
      </c>
      <c r="I2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760.5045714285709</v>
      </c>
      <c r="J25" s="23">
        <f>Processed_data[[#This Row],[Zysk brutto
(Gross profit)]]/Processed_data[[#This Row],[Przychód brutto (Revenue)]]</f>
        <v>0.26137193048780771</v>
      </c>
      <c r="K25" t="str">
        <f>IF(Processed_data[[#This Row],[Marża (Margin)]]&gt;0.6,"wysoka",IF(Processed_data[[#This Row],[Marża (Margin)]]&gt;0.3,"średnia","niska"))</f>
        <v>niska</v>
      </c>
      <c r="L25">
        <f>MONTH(Raw_Data[[#This Row],[Data zamów. (Order date)]])</f>
        <v>5</v>
      </c>
      <c r="M25" t="str">
        <f>TEXT(Raw_Data[[#This Row],[Data zamów. (Order date)]], "MMMM")</f>
        <v>maj</v>
      </c>
      <c r="N25">
        <f>IF(Processed_data[[#This Row],[Miesiąc (Month)]]&lt;=3,1,IF(Processed_data[[#This Row],[Miesiąc (Month)]]&lt;=6,2,IF(Processed_data[[#This Row],[Miesiąc (Month)]]&lt;=9,3,4)))</f>
        <v>2</v>
      </c>
    </row>
    <row r="26" spans="1:14" x14ac:dyDescent="0.25">
      <c r="A26" s="6" t="str">
        <f>Raw_Data[[#This Row],[ID zamów. (Order ID)]]</f>
        <v>ORD0025</v>
      </c>
      <c r="B26" s="6" t="str">
        <f>Raw_Data[[#This Row],[ID klienta (Client ID)]]</f>
        <v>CUST8574</v>
      </c>
      <c r="C26" s="6" t="str">
        <f>_xlfn.XLOOKUP(Raw_Data[[#This Row],[Produkt (Product)]],'Product lookup table'!$A$2:$A$20,'Product lookup table'!$B$2:$B$20)</f>
        <v>Home</v>
      </c>
      <c r="D26" s="6" t="str">
        <f>Raw_Data[[#This Row],[Produkt (Product)]]</f>
        <v>Poduszka dekoracyjna</v>
      </c>
      <c r="E26" s="6" t="str">
        <f>Raw_Data[[#This Row],[Kanał sprzedaży (Marketplace)]]</f>
        <v>Allegro</v>
      </c>
      <c r="F26" s="6" t="str">
        <f>Raw_Data[[#This Row],[Miasto (City)]]</f>
        <v>Gdańsk</v>
      </c>
      <c r="G26" s="6">
        <f>Raw_Data[[#This Row],[Ilość (Quant.)]]</f>
        <v>5</v>
      </c>
      <c r="H26" s="7">
        <f>Raw_Data[[#This Row],[Przychód brutto (Revenue)]]</f>
        <v>364.47727272727269</v>
      </c>
      <c r="I2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185.31909090909087</v>
      </c>
      <c r="J26" s="23">
        <f>Processed_data[[#This Row],[Zysk brutto
(Gross profit)]]/Processed_data[[#This Row],[Przychód brutto (Revenue)]]</f>
        <v>0.50845170543119034</v>
      </c>
      <c r="K26" t="str">
        <f>IF(Processed_data[[#This Row],[Marża (Margin)]]&gt;0.6,"wysoka",IF(Processed_data[[#This Row],[Marża (Margin)]]&gt;0.3,"średnia","niska"))</f>
        <v>średnia</v>
      </c>
      <c r="L26">
        <f>MONTH(Raw_Data[[#This Row],[Data zamów. (Order date)]])</f>
        <v>7</v>
      </c>
      <c r="M26" t="str">
        <f>TEXT(Raw_Data[[#This Row],[Data zamów. (Order date)]], "MMMM")</f>
        <v>lipiec</v>
      </c>
      <c r="N26">
        <f>IF(Processed_data[[#This Row],[Miesiąc (Month)]]&lt;=3,1,IF(Processed_data[[#This Row],[Miesiąc (Month)]]&lt;=6,2,IF(Processed_data[[#This Row],[Miesiąc (Month)]]&lt;=9,3,4)))</f>
        <v>3</v>
      </c>
    </row>
    <row r="27" spans="1:14" x14ac:dyDescent="0.25">
      <c r="A27" s="6" t="str">
        <f>Raw_Data[[#This Row],[ID zamów. (Order ID)]]</f>
        <v>ORD0026</v>
      </c>
      <c r="B27" s="6" t="str">
        <f>Raw_Data[[#This Row],[ID klienta (Client ID)]]</f>
        <v>CUST4198</v>
      </c>
      <c r="C27" s="6" t="str">
        <f>_xlfn.XLOOKUP(Raw_Data[[#This Row],[Produkt (Product)]],'Product lookup table'!$A$2:$A$20,'Product lookup table'!$B$2:$B$20)</f>
        <v>Kosmetyki</v>
      </c>
      <c r="D27" s="6" t="str">
        <f>Raw_Data[[#This Row],[Produkt (Product)]]</f>
        <v>Paleta cieni</v>
      </c>
      <c r="E27" s="6" t="str">
        <f>Raw_Data[[#This Row],[Kanał sprzedaży (Marketplace)]]</f>
        <v>Amazon</v>
      </c>
      <c r="F27" s="6" t="str">
        <f>Raw_Data[[#This Row],[Miasto (City)]]</f>
        <v>Gdańsk</v>
      </c>
      <c r="G27" s="6">
        <f>Raw_Data[[#This Row],[Ilość (Quant.)]]</f>
        <v>5</v>
      </c>
      <c r="H27" s="7">
        <f>Raw_Data[[#This Row],[Przychód brutto (Revenue)]]</f>
        <v>613.83888888888896</v>
      </c>
      <c r="I2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340.1782222222223</v>
      </c>
      <c r="J27" s="23">
        <f>Processed_data[[#This Row],[Zysk brutto
(Gross profit)]]/Processed_data[[#This Row],[Przychód brutto (Revenue)]]</f>
        <v>0.55418160755174639</v>
      </c>
      <c r="K27" t="str">
        <f>IF(Processed_data[[#This Row],[Marża (Margin)]]&gt;0.6,"wysoka",IF(Processed_data[[#This Row],[Marża (Margin)]]&gt;0.3,"średnia","niska"))</f>
        <v>średnia</v>
      </c>
      <c r="L27">
        <f>MONTH(Raw_Data[[#This Row],[Data zamów. (Order date)]])</f>
        <v>9</v>
      </c>
      <c r="M27" t="str">
        <f>TEXT(Raw_Data[[#This Row],[Data zamów. (Order date)]], "MMMM")</f>
        <v>wrzesień</v>
      </c>
      <c r="N27">
        <f>IF(Processed_data[[#This Row],[Miesiąc (Month)]]&lt;=3,1,IF(Processed_data[[#This Row],[Miesiąc (Month)]]&lt;=6,2,IF(Processed_data[[#This Row],[Miesiąc (Month)]]&lt;=9,3,4)))</f>
        <v>3</v>
      </c>
    </row>
    <row r="28" spans="1:14" x14ac:dyDescent="0.25">
      <c r="A28" s="6" t="str">
        <f>Raw_Data[[#This Row],[ID zamów. (Order ID)]]</f>
        <v>ORD0027</v>
      </c>
      <c r="B28" s="6" t="str">
        <f>Raw_Data[[#This Row],[ID klienta (Client ID)]]</f>
        <v>CUST4198</v>
      </c>
      <c r="C28" s="6" t="str">
        <f>_xlfn.XLOOKUP(Raw_Data[[#This Row],[Produkt (Product)]],'Product lookup table'!$A$2:$A$20,'Product lookup table'!$B$2:$B$20)</f>
        <v>Home</v>
      </c>
      <c r="D28" s="6" t="str">
        <f>Raw_Data[[#This Row],[Produkt (Product)]]</f>
        <v>Świeca zapachowa</v>
      </c>
      <c r="E28" s="6" t="str">
        <f>Raw_Data[[#This Row],[Kanał sprzedaży (Marketplace)]]</f>
        <v>Allegro</v>
      </c>
      <c r="F28" s="6" t="str">
        <f>Raw_Data[[#This Row],[Miasto (City)]]</f>
        <v>Gdańsk</v>
      </c>
      <c r="G28" s="6">
        <f>Raw_Data[[#This Row],[Ilość (Quant.)]]</f>
        <v>1</v>
      </c>
      <c r="H28" s="7">
        <f>Raw_Data[[#This Row],[Przychód brutto (Revenue)]]</f>
        <v>43.647318181818193</v>
      </c>
      <c r="I2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20.155532727272735</v>
      </c>
      <c r="J28" s="23">
        <f>Processed_data[[#This Row],[Zysk brutto
(Gross profit)]]/Processed_data[[#This Row],[Przychód brutto (Revenue)]]</f>
        <v>0.46178169855275925</v>
      </c>
      <c r="K28" t="str">
        <f>IF(Processed_data[[#This Row],[Marża (Margin)]]&gt;0.6,"wysoka",IF(Processed_data[[#This Row],[Marża (Margin)]]&gt;0.3,"średnia","niska"))</f>
        <v>średnia</v>
      </c>
      <c r="L28">
        <f>MONTH(Raw_Data[[#This Row],[Data zamów. (Order date)]])</f>
        <v>3</v>
      </c>
      <c r="M28" t="str">
        <f>TEXT(Raw_Data[[#This Row],[Data zamów. (Order date)]], "MMMM")</f>
        <v>marzec</v>
      </c>
      <c r="N28">
        <f>IF(Processed_data[[#This Row],[Miesiąc (Month)]]&lt;=3,1,IF(Processed_data[[#This Row],[Miesiąc (Month)]]&lt;=6,2,IF(Processed_data[[#This Row],[Miesiąc (Month)]]&lt;=9,3,4)))</f>
        <v>1</v>
      </c>
    </row>
    <row r="29" spans="1:14" x14ac:dyDescent="0.25">
      <c r="A29" s="6" t="str">
        <f>Raw_Data[[#This Row],[ID zamów. (Order ID)]]</f>
        <v>ORD0028</v>
      </c>
      <c r="B29" s="6" t="str">
        <f>Raw_Data[[#This Row],[ID klienta (Client ID)]]</f>
        <v>CUST4198</v>
      </c>
      <c r="C29" s="6" t="str">
        <f>_xlfn.XLOOKUP(Raw_Data[[#This Row],[Produkt (Product)]],'Product lookup table'!$A$2:$A$20,'Product lookup table'!$B$2:$B$20)</f>
        <v>Home</v>
      </c>
      <c r="D29" s="6" t="str">
        <f>Raw_Data[[#This Row],[Produkt (Product)]]</f>
        <v>Wazon szklany</v>
      </c>
      <c r="E29" s="6" t="str">
        <f>Raw_Data[[#This Row],[Kanał sprzedaży (Marketplace)]]</f>
        <v>Allegro</v>
      </c>
      <c r="F29" s="6" t="str">
        <f>Raw_Data[[#This Row],[Miasto (City)]]</f>
        <v>Gdańsk</v>
      </c>
      <c r="G29" s="6">
        <f>Raw_Data[[#This Row],[Ilość (Quant.)]]</f>
        <v>3</v>
      </c>
      <c r="H29" s="7">
        <f>Raw_Data[[#This Row],[Przychód brutto (Revenue)]]</f>
        <v>104.64272727272729</v>
      </c>
      <c r="I2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51.271309090909099</v>
      </c>
      <c r="J29" s="23">
        <f>Processed_data[[#This Row],[Zysk brutto
(Gross profit)]]/Processed_data[[#This Row],[Przychód brutto (Revenue)]]</f>
        <v>0.4899653365998593</v>
      </c>
      <c r="K29" t="str">
        <f>IF(Processed_data[[#This Row],[Marża (Margin)]]&gt;0.6,"wysoka",IF(Processed_data[[#This Row],[Marża (Margin)]]&gt;0.3,"średnia","niska"))</f>
        <v>średnia</v>
      </c>
      <c r="L29">
        <f>MONTH(Raw_Data[[#This Row],[Data zamów. (Order date)]])</f>
        <v>10</v>
      </c>
      <c r="M29" t="str">
        <f>TEXT(Raw_Data[[#This Row],[Data zamów. (Order date)]], "MMMM")</f>
        <v>październik</v>
      </c>
      <c r="N29">
        <f>IF(Processed_data[[#This Row],[Miesiąc (Month)]]&lt;=3,1,IF(Processed_data[[#This Row],[Miesiąc (Month)]]&lt;=6,2,IF(Processed_data[[#This Row],[Miesiąc (Month)]]&lt;=9,3,4)))</f>
        <v>4</v>
      </c>
    </row>
    <row r="30" spans="1:14" x14ac:dyDescent="0.25">
      <c r="A30" s="6" t="str">
        <f>Raw_Data[[#This Row],[ID zamów. (Order ID)]]</f>
        <v>ORD0029</v>
      </c>
      <c r="B30" s="6" t="str">
        <f>Raw_Data[[#This Row],[ID klienta (Client ID)]]</f>
        <v>CUST4198</v>
      </c>
      <c r="C30" s="6" t="str">
        <f>_xlfn.XLOOKUP(Raw_Data[[#This Row],[Produkt (Product)]],'Product lookup table'!$A$2:$A$20,'Product lookup table'!$B$2:$B$20)</f>
        <v>Home</v>
      </c>
      <c r="D30" s="6" t="str">
        <f>Raw_Data[[#This Row],[Produkt (Product)]]</f>
        <v>Poduszka dekoracyjna</v>
      </c>
      <c r="E30" s="6" t="str">
        <f>Raw_Data[[#This Row],[Kanał sprzedaży (Marketplace)]]</f>
        <v>Shopify</v>
      </c>
      <c r="F30" s="6" t="str">
        <f>Raw_Data[[#This Row],[Miasto (City)]]</f>
        <v>Gdańsk</v>
      </c>
      <c r="G30" s="6">
        <f>Raw_Data[[#This Row],[Ilość (Quant.)]]</f>
        <v>2</v>
      </c>
      <c r="H30" s="7">
        <f>Raw_Data[[#This Row],[Przychód brutto (Revenue)]]</f>
        <v>128.12545454545455</v>
      </c>
      <c r="I3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68.125454545454545</v>
      </c>
      <c r="J30" s="23">
        <f>Processed_data[[#This Row],[Zysk brutto
(Gross profit)]]/Processed_data[[#This Row],[Przychód brutto (Revenue)]]</f>
        <v>0.53170897841604114</v>
      </c>
      <c r="K30" t="str">
        <f>IF(Processed_data[[#This Row],[Marża (Margin)]]&gt;0.6,"wysoka",IF(Processed_data[[#This Row],[Marża (Margin)]]&gt;0.3,"średnia","niska"))</f>
        <v>średnia</v>
      </c>
      <c r="L30">
        <f>MONTH(Raw_Data[[#This Row],[Data zamów. (Order date)]])</f>
        <v>1</v>
      </c>
      <c r="M30" t="str">
        <f>TEXT(Raw_Data[[#This Row],[Data zamów. (Order date)]], "MMMM")</f>
        <v>styczeń</v>
      </c>
      <c r="N30">
        <f>IF(Processed_data[[#This Row],[Miesiąc (Month)]]&lt;=3,1,IF(Processed_data[[#This Row],[Miesiąc (Month)]]&lt;=6,2,IF(Processed_data[[#This Row],[Miesiąc (Month)]]&lt;=9,3,4)))</f>
        <v>1</v>
      </c>
    </row>
    <row r="31" spans="1:14" x14ac:dyDescent="0.25">
      <c r="A31" s="6" t="str">
        <f>Raw_Data[[#This Row],[ID zamów. (Order ID)]]</f>
        <v>ORD0030</v>
      </c>
      <c r="B31" s="6" t="str">
        <f>Raw_Data[[#This Row],[ID klienta (Client ID)]]</f>
        <v>CUST4198</v>
      </c>
      <c r="C31" s="6" t="str">
        <f>_xlfn.XLOOKUP(Raw_Data[[#This Row],[Produkt (Product)]],'Product lookup table'!$A$2:$A$20,'Product lookup table'!$B$2:$B$20)</f>
        <v>Home</v>
      </c>
      <c r="D31" s="6" t="str">
        <f>Raw_Data[[#This Row],[Produkt (Product)]]</f>
        <v>Wazon szklany</v>
      </c>
      <c r="E31" s="6" t="str">
        <f>Raw_Data[[#This Row],[Kanał sprzedaży (Marketplace)]]</f>
        <v>Empik Marketplace</v>
      </c>
      <c r="F31" s="6" t="str">
        <f>Raw_Data[[#This Row],[Miasto (City)]]</f>
        <v>Gdańsk</v>
      </c>
      <c r="G31" s="6">
        <f>Raw_Data[[#This Row],[Ilość (Quant.)]]</f>
        <v>2</v>
      </c>
      <c r="H31" s="7">
        <f>Raw_Data[[#This Row],[Przychód brutto (Revenue)]]</f>
        <v>54.63000000000001</v>
      </c>
      <c r="I3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19.167000000000009</v>
      </c>
      <c r="J31" s="23">
        <f>Processed_data[[#This Row],[Zysk brutto
(Gross profit)]]/Processed_data[[#This Row],[Przychód brutto (Revenue)]]</f>
        <v>0.35085118066996168</v>
      </c>
      <c r="K31" t="str">
        <f>IF(Processed_data[[#This Row],[Marża (Margin)]]&gt;0.6,"wysoka",IF(Processed_data[[#This Row],[Marża (Margin)]]&gt;0.3,"średnia","niska"))</f>
        <v>średnia</v>
      </c>
      <c r="L31">
        <f>MONTH(Raw_Data[[#This Row],[Data zamów. (Order date)]])</f>
        <v>8</v>
      </c>
      <c r="M31" t="str">
        <f>TEXT(Raw_Data[[#This Row],[Data zamów. (Order date)]], "MMMM")</f>
        <v>sierpień</v>
      </c>
      <c r="N31">
        <f>IF(Processed_data[[#This Row],[Miesiąc (Month)]]&lt;=3,1,IF(Processed_data[[#This Row],[Miesiąc (Month)]]&lt;=6,2,IF(Processed_data[[#This Row],[Miesiąc (Month)]]&lt;=9,3,4)))</f>
        <v>3</v>
      </c>
    </row>
    <row r="32" spans="1:14" x14ac:dyDescent="0.25">
      <c r="A32" s="6" t="str">
        <f>Raw_Data[[#This Row],[ID zamów. (Order ID)]]</f>
        <v>ORD0031</v>
      </c>
      <c r="B32" s="6" t="str">
        <f>Raw_Data[[#This Row],[ID klienta (Client ID)]]</f>
        <v>CUST4198</v>
      </c>
      <c r="C32" s="6" t="str">
        <f>_xlfn.XLOOKUP(Raw_Data[[#This Row],[Produkt (Product)]],'Product lookup table'!$A$2:$A$20,'Product lookup table'!$B$2:$B$20)</f>
        <v>Kosmetyki</v>
      </c>
      <c r="D32" s="6" t="str">
        <f>Raw_Data[[#This Row],[Produkt (Product)]]</f>
        <v>Olejek</v>
      </c>
      <c r="E32" s="6" t="str">
        <f>Raw_Data[[#This Row],[Kanał sprzedaży (Marketplace)]]</f>
        <v>Amazon</v>
      </c>
      <c r="F32" s="6" t="str">
        <f>Raw_Data[[#This Row],[Miasto (City)]]</f>
        <v>Gdańsk</v>
      </c>
      <c r="G32" s="6">
        <f>Raw_Data[[#This Row],[Ilość (Quant.)]]</f>
        <v>3</v>
      </c>
      <c r="H32" s="7">
        <f>Raw_Data[[#This Row],[Przychód brutto (Revenue)]]</f>
        <v>48.36999999999999</v>
      </c>
      <c r="I3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27.565599999999993</v>
      </c>
      <c r="J32" s="23">
        <f>Processed_data[[#This Row],[Zysk brutto
(Gross profit)]]/Processed_data[[#This Row],[Przychód brutto (Revenue)]]</f>
        <v>0.56989042795120937</v>
      </c>
      <c r="K32" t="str">
        <f>IF(Processed_data[[#This Row],[Marża (Margin)]]&gt;0.6,"wysoka",IF(Processed_data[[#This Row],[Marża (Margin)]]&gt;0.3,"średnia","niska"))</f>
        <v>średnia</v>
      </c>
      <c r="L32">
        <f>MONTH(Raw_Data[[#This Row],[Data zamów. (Order date)]])</f>
        <v>1</v>
      </c>
      <c r="M32" t="str">
        <f>TEXT(Raw_Data[[#This Row],[Data zamów. (Order date)]], "MMMM")</f>
        <v>styczeń</v>
      </c>
      <c r="N32">
        <f>IF(Processed_data[[#This Row],[Miesiąc (Month)]]&lt;=3,1,IF(Processed_data[[#This Row],[Miesiąc (Month)]]&lt;=6,2,IF(Processed_data[[#This Row],[Miesiąc (Month)]]&lt;=9,3,4)))</f>
        <v>1</v>
      </c>
    </row>
    <row r="33" spans="1:14" x14ac:dyDescent="0.25">
      <c r="A33" s="6" t="str">
        <f>Raw_Data[[#This Row],[ID zamów. (Order ID)]]</f>
        <v>ORD0032</v>
      </c>
      <c r="B33" s="6" t="str">
        <f>Raw_Data[[#This Row],[ID klienta (Client ID)]]</f>
        <v>CUST3552</v>
      </c>
      <c r="C33" s="6" t="str">
        <f>_xlfn.XLOOKUP(Raw_Data[[#This Row],[Produkt (Product)]],'Product lookup table'!$A$2:$A$20,'Product lookup table'!$B$2:$B$20)</f>
        <v>Kosmetyki</v>
      </c>
      <c r="D33" s="6" t="str">
        <f>Raw_Data[[#This Row],[Produkt (Product)]]</f>
        <v>Krem do twarzy</v>
      </c>
      <c r="E33" s="6" t="str">
        <f>Raw_Data[[#This Row],[Kanał sprzedaży (Marketplace)]]</f>
        <v>Empik Marketplace</v>
      </c>
      <c r="F33" s="6" t="str">
        <f>Raw_Data[[#This Row],[Miasto (City)]]</f>
        <v>Gdańsk</v>
      </c>
      <c r="G33" s="6">
        <f>Raw_Data[[#This Row],[Ilość (Quant.)]]</f>
        <v>5</v>
      </c>
      <c r="H33" s="7">
        <f>Raw_Data[[#This Row],[Przychód brutto (Revenue)]]</f>
        <v>285.50555555555559</v>
      </c>
      <c r="I3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131.95500000000004</v>
      </c>
      <c r="J33" s="23">
        <f>Processed_data[[#This Row],[Zysk brutto
(Gross profit)]]/Processed_data[[#This Row],[Przychód brutto (Revenue)]]</f>
        <v>0.46218014827498988</v>
      </c>
      <c r="K33" t="str">
        <f>IF(Processed_data[[#This Row],[Marża (Margin)]]&gt;0.6,"wysoka",IF(Processed_data[[#This Row],[Marża (Margin)]]&gt;0.3,"średnia","niska"))</f>
        <v>średnia</v>
      </c>
      <c r="L33">
        <f>MONTH(Raw_Data[[#This Row],[Data zamów. (Order date)]])</f>
        <v>12</v>
      </c>
      <c r="M33" t="str">
        <f>TEXT(Raw_Data[[#This Row],[Data zamów. (Order date)]], "MMMM")</f>
        <v>grudzień</v>
      </c>
      <c r="N33">
        <f>IF(Processed_data[[#This Row],[Miesiąc (Month)]]&lt;=3,1,IF(Processed_data[[#This Row],[Miesiąc (Month)]]&lt;=6,2,IF(Processed_data[[#This Row],[Miesiąc (Month)]]&lt;=9,3,4)))</f>
        <v>4</v>
      </c>
    </row>
    <row r="34" spans="1:14" x14ac:dyDescent="0.25">
      <c r="A34" s="6" t="str">
        <f>Raw_Data[[#This Row],[ID zamów. (Order ID)]]</f>
        <v>ORD0033</v>
      </c>
      <c r="B34" s="6" t="str">
        <f>Raw_Data[[#This Row],[ID klienta (Client ID)]]</f>
        <v>CUST3552</v>
      </c>
      <c r="C34" s="6" t="str">
        <f>_xlfn.XLOOKUP(Raw_Data[[#This Row],[Produkt (Product)]],'Product lookup table'!$A$2:$A$20,'Product lookup table'!$B$2:$B$20)</f>
        <v>Kosmetyki</v>
      </c>
      <c r="D34" s="6" t="str">
        <f>Raw_Data[[#This Row],[Produkt (Product)]]</f>
        <v>Serum</v>
      </c>
      <c r="E34" s="6" t="str">
        <f>Raw_Data[[#This Row],[Kanał sprzedaży (Marketplace)]]</f>
        <v>Allegro</v>
      </c>
      <c r="F34" s="6" t="str">
        <f>Raw_Data[[#This Row],[Miasto (City)]]</f>
        <v>Gdańsk</v>
      </c>
      <c r="G34" s="6">
        <f>Raw_Data[[#This Row],[Ilość (Quant.)]]</f>
        <v>2</v>
      </c>
      <c r="H34" s="7">
        <f>Raw_Data[[#This Row],[Przychód brutto (Revenue)]]</f>
        <v>187.36666666666665</v>
      </c>
      <c r="I3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112.37733333333331</v>
      </c>
      <c r="J34" s="23">
        <f>Processed_data[[#This Row],[Zysk brutto
(Gross profit)]]/Processed_data[[#This Row],[Przychód brutto (Revenue)]]</f>
        <v>0.59977228251200854</v>
      </c>
      <c r="K34" t="str">
        <f>IF(Processed_data[[#This Row],[Marża (Margin)]]&gt;0.6,"wysoka",IF(Processed_data[[#This Row],[Marża (Margin)]]&gt;0.3,"średnia","niska"))</f>
        <v>średnia</v>
      </c>
      <c r="L34">
        <f>MONTH(Raw_Data[[#This Row],[Data zamów. (Order date)]])</f>
        <v>6</v>
      </c>
      <c r="M34" t="str">
        <f>TEXT(Raw_Data[[#This Row],[Data zamów. (Order date)]], "MMMM")</f>
        <v>czerwiec</v>
      </c>
      <c r="N34">
        <f>IF(Processed_data[[#This Row],[Miesiąc (Month)]]&lt;=3,1,IF(Processed_data[[#This Row],[Miesiąc (Month)]]&lt;=6,2,IF(Processed_data[[#This Row],[Miesiąc (Month)]]&lt;=9,3,4)))</f>
        <v>2</v>
      </c>
    </row>
    <row r="35" spans="1:14" x14ac:dyDescent="0.25">
      <c r="A35" s="6" t="str">
        <f>Raw_Data[[#This Row],[ID zamów. (Order ID)]]</f>
        <v>ORD0034</v>
      </c>
      <c r="B35" s="6" t="str">
        <f>Raw_Data[[#This Row],[ID klienta (Client ID)]]</f>
        <v>CUST3552</v>
      </c>
      <c r="C35" s="6" t="str">
        <f>_xlfn.XLOOKUP(Raw_Data[[#This Row],[Produkt (Product)]],'Product lookup table'!$A$2:$A$20,'Product lookup table'!$B$2:$B$20)</f>
        <v>Outdoor</v>
      </c>
      <c r="D35" s="6" t="str">
        <f>Raw_Data[[#This Row],[Produkt (Product)]]</f>
        <v>Bidon</v>
      </c>
      <c r="E35" s="6" t="str">
        <f>Raw_Data[[#This Row],[Kanał sprzedaży (Marketplace)]]</f>
        <v>Empik Marketplace</v>
      </c>
      <c r="F35" s="6" t="str">
        <f>Raw_Data[[#This Row],[Miasto (City)]]</f>
        <v>Gdańsk</v>
      </c>
      <c r="G35" s="6">
        <f>Raw_Data[[#This Row],[Ilość (Quant.)]]</f>
        <v>3</v>
      </c>
      <c r="H35" s="7">
        <f>Raw_Data[[#This Row],[Przychód brutto (Revenue)]]</f>
        <v>83.435785714285714</v>
      </c>
      <c r="I3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30.092207142857141</v>
      </c>
      <c r="J35" s="23">
        <f>Processed_data[[#This Row],[Zysk brutto
(Gross profit)]]/Processed_data[[#This Row],[Przychód brutto (Revenue)]]</f>
        <v>0.36066307622371696</v>
      </c>
      <c r="K35" t="str">
        <f>IF(Processed_data[[#This Row],[Marża (Margin)]]&gt;0.6,"wysoka",IF(Processed_data[[#This Row],[Marża (Margin)]]&gt;0.3,"średnia","niska"))</f>
        <v>średnia</v>
      </c>
      <c r="L35">
        <f>MONTH(Raw_Data[[#This Row],[Data zamów. (Order date)]])</f>
        <v>9</v>
      </c>
      <c r="M35" t="str">
        <f>TEXT(Raw_Data[[#This Row],[Data zamów. (Order date)]], "MMMM")</f>
        <v>wrzesień</v>
      </c>
      <c r="N35">
        <f>IF(Processed_data[[#This Row],[Miesiąc (Month)]]&lt;=3,1,IF(Processed_data[[#This Row],[Miesiąc (Month)]]&lt;=6,2,IF(Processed_data[[#This Row],[Miesiąc (Month)]]&lt;=9,3,4)))</f>
        <v>3</v>
      </c>
    </row>
    <row r="36" spans="1:14" x14ac:dyDescent="0.25">
      <c r="A36" s="6" t="str">
        <f>Raw_Data[[#This Row],[ID zamów. (Order ID)]]</f>
        <v>ORD0035</v>
      </c>
      <c r="B36" s="6" t="str">
        <f>Raw_Data[[#This Row],[ID klienta (Client ID)]]</f>
        <v>CUST7265</v>
      </c>
      <c r="C36" s="6" t="str">
        <f>_xlfn.XLOOKUP(Raw_Data[[#This Row],[Produkt (Product)]],'Product lookup table'!$A$2:$A$20,'Product lookup table'!$B$2:$B$20)</f>
        <v>Outdoor</v>
      </c>
      <c r="D36" s="6" t="str">
        <f>Raw_Data[[#This Row],[Produkt (Product)]]</f>
        <v>Namiot</v>
      </c>
      <c r="E36" s="6" t="str">
        <f>Raw_Data[[#This Row],[Kanał sprzedaży (Marketplace)]]</f>
        <v>Empik Marketplace</v>
      </c>
      <c r="F36" s="6" t="str">
        <f>Raw_Data[[#This Row],[Miasto (City)]]</f>
        <v>Wrocław</v>
      </c>
      <c r="G36" s="6">
        <f>Raw_Data[[#This Row],[Ilość (Quant.)]]</f>
        <v>3</v>
      </c>
      <c r="H36" s="7">
        <f>Raw_Data[[#This Row],[Przychód brutto (Revenue)]]</f>
        <v>1666.4067857142861</v>
      </c>
      <c r="I3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419.76610714285749</v>
      </c>
      <c r="J36" s="23">
        <f>Processed_data[[#This Row],[Zysk brutto
(Gross profit)]]/Processed_data[[#This Row],[Przychód brutto (Revenue)]]</f>
        <v>0.25189894252796718</v>
      </c>
      <c r="K36" t="str">
        <f>IF(Processed_data[[#This Row],[Marża (Margin)]]&gt;0.6,"wysoka",IF(Processed_data[[#This Row],[Marża (Margin)]]&gt;0.3,"średnia","niska"))</f>
        <v>niska</v>
      </c>
      <c r="L36">
        <f>MONTH(Raw_Data[[#This Row],[Data zamów. (Order date)]])</f>
        <v>12</v>
      </c>
      <c r="M36" t="str">
        <f>TEXT(Raw_Data[[#This Row],[Data zamów. (Order date)]], "MMMM")</f>
        <v>grudzień</v>
      </c>
      <c r="N36">
        <f>IF(Processed_data[[#This Row],[Miesiąc (Month)]]&lt;=3,1,IF(Processed_data[[#This Row],[Miesiąc (Month)]]&lt;=6,2,IF(Processed_data[[#This Row],[Miesiąc (Month)]]&lt;=9,3,4)))</f>
        <v>4</v>
      </c>
    </row>
    <row r="37" spans="1:14" x14ac:dyDescent="0.25">
      <c r="A37" s="6" t="str">
        <f>Raw_Data[[#This Row],[ID zamów. (Order ID)]]</f>
        <v>ORD0036</v>
      </c>
      <c r="B37" s="6" t="str">
        <f>Raw_Data[[#This Row],[ID klienta (Client ID)]]</f>
        <v>CUST8430</v>
      </c>
      <c r="C37" s="6" t="str">
        <f>_xlfn.XLOOKUP(Raw_Data[[#This Row],[Produkt (Product)]],'Product lookup table'!$A$2:$A$20,'Product lookup table'!$B$2:$B$20)</f>
        <v>Kosmetyki</v>
      </c>
      <c r="D37" s="6" t="str">
        <f>Raw_Data[[#This Row],[Produkt (Product)]]</f>
        <v>Paleta cieni</v>
      </c>
      <c r="E37" s="6" t="str">
        <f>Raw_Data[[#This Row],[Kanał sprzedaży (Marketplace)]]</f>
        <v>Amazon</v>
      </c>
      <c r="F37" s="6" t="str">
        <f>Raw_Data[[#This Row],[Miasto (City)]]</f>
        <v>Warszawa</v>
      </c>
      <c r="G37" s="6">
        <f>Raw_Data[[#This Row],[Ilość (Quant.)]]</f>
        <v>1</v>
      </c>
      <c r="H37" s="7">
        <f>Raw_Data[[#This Row],[Przychód brutto (Revenue)]]</f>
        <v>110.08600000000001</v>
      </c>
      <c r="I3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56.87568000000001</v>
      </c>
      <c r="J37" s="23">
        <f>Processed_data[[#This Row],[Zysk brutto
(Gross profit)]]/Processed_data[[#This Row],[Przychód brutto (Revenue)]]</f>
        <v>0.51664771178896507</v>
      </c>
      <c r="K37" t="str">
        <f>IF(Processed_data[[#This Row],[Marża (Margin)]]&gt;0.6,"wysoka",IF(Processed_data[[#This Row],[Marża (Margin)]]&gt;0.3,"średnia","niska"))</f>
        <v>średnia</v>
      </c>
      <c r="L37">
        <f>MONTH(Raw_Data[[#This Row],[Data zamów. (Order date)]])</f>
        <v>1</v>
      </c>
      <c r="M37" t="str">
        <f>TEXT(Raw_Data[[#This Row],[Data zamów. (Order date)]], "MMMM")</f>
        <v>styczeń</v>
      </c>
      <c r="N37">
        <f>IF(Processed_data[[#This Row],[Miesiąc (Month)]]&lt;=3,1,IF(Processed_data[[#This Row],[Miesiąc (Month)]]&lt;=6,2,IF(Processed_data[[#This Row],[Miesiąc (Month)]]&lt;=9,3,4)))</f>
        <v>1</v>
      </c>
    </row>
    <row r="38" spans="1:14" x14ac:dyDescent="0.25">
      <c r="A38" s="6" t="str">
        <f>Raw_Data[[#This Row],[ID zamów. (Order ID)]]</f>
        <v>ORD0037</v>
      </c>
      <c r="B38" s="6" t="str">
        <f>Raw_Data[[#This Row],[ID klienta (Client ID)]]</f>
        <v>CUST8430</v>
      </c>
      <c r="C38" s="6" t="str">
        <f>_xlfn.XLOOKUP(Raw_Data[[#This Row],[Produkt (Product)]],'Product lookup table'!$A$2:$A$20,'Product lookup table'!$B$2:$B$20)</f>
        <v>Kosmetyki</v>
      </c>
      <c r="D38" s="6" t="str">
        <f>Raw_Data[[#This Row],[Produkt (Product)]]</f>
        <v>Żel pod prysznic</v>
      </c>
      <c r="E38" s="6" t="str">
        <f>Raw_Data[[#This Row],[Kanał sprzedaży (Marketplace)]]</f>
        <v>Allegro</v>
      </c>
      <c r="F38" s="6" t="str">
        <f>Raw_Data[[#This Row],[Miasto (City)]]</f>
        <v>Warszawa</v>
      </c>
      <c r="G38" s="6">
        <f>Raw_Data[[#This Row],[Ilość (Quant.)]]</f>
        <v>2</v>
      </c>
      <c r="H38" s="7">
        <f>Raw_Data[[#This Row],[Przychód brutto (Revenue)]]</f>
        <v>15.635555555555555</v>
      </c>
      <c r="I3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9.3847111111111108</v>
      </c>
      <c r="J38" s="23">
        <f>Processed_data[[#This Row],[Zysk brutto
(Gross profit)]]/Processed_data[[#This Row],[Przychód brutto (Revenue)]]</f>
        <v>0.60021603183627059</v>
      </c>
      <c r="K38" t="str">
        <f>IF(Processed_data[[#This Row],[Marża (Margin)]]&gt;0.6,"wysoka",IF(Processed_data[[#This Row],[Marża (Margin)]]&gt;0.3,"średnia","niska"))</f>
        <v>wysoka</v>
      </c>
      <c r="L38">
        <f>MONTH(Raw_Data[[#This Row],[Data zamów. (Order date)]])</f>
        <v>11</v>
      </c>
      <c r="M38" t="str">
        <f>TEXT(Raw_Data[[#This Row],[Data zamów. (Order date)]], "MMMM")</f>
        <v>listopad</v>
      </c>
      <c r="N38">
        <f>IF(Processed_data[[#This Row],[Miesiąc (Month)]]&lt;=3,1,IF(Processed_data[[#This Row],[Miesiąc (Month)]]&lt;=6,2,IF(Processed_data[[#This Row],[Miesiąc (Month)]]&lt;=9,3,4)))</f>
        <v>4</v>
      </c>
    </row>
    <row r="39" spans="1:14" x14ac:dyDescent="0.25">
      <c r="A39" s="6" t="str">
        <f>Raw_Data[[#This Row],[ID zamów. (Order ID)]]</f>
        <v>ORD0038</v>
      </c>
      <c r="B39" s="6" t="str">
        <f>Raw_Data[[#This Row],[ID klienta (Client ID)]]</f>
        <v>CUST8430</v>
      </c>
      <c r="C39" s="6" t="str">
        <f>_xlfn.XLOOKUP(Raw_Data[[#This Row],[Produkt (Product)]],'Product lookup table'!$A$2:$A$20,'Product lookup table'!$B$2:$B$20)</f>
        <v>Outdoor</v>
      </c>
      <c r="D39" s="6" t="str">
        <f>Raw_Data[[#This Row],[Produkt (Product)]]</f>
        <v>Buty trekkingowe</v>
      </c>
      <c r="E39" s="6" t="str">
        <f>Raw_Data[[#This Row],[Kanał sprzedaży (Marketplace)]]</f>
        <v>Empik Marketplace</v>
      </c>
      <c r="F39" s="6" t="str">
        <f>Raw_Data[[#This Row],[Miasto (City)]]</f>
        <v>Warszawa</v>
      </c>
      <c r="G39" s="6">
        <f>Raw_Data[[#This Row],[Ilość (Quant.)]]</f>
        <v>3</v>
      </c>
      <c r="H39" s="7">
        <f>Raw_Data[[#This Row],[Przychód brutto (Revenue)]]</f>
        <v>1383.1842857142856</v>
      </c>
      <c r="I3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314.86585714285701</v>
      </c>
      <c r="J39" s="23">
        <f>Processed_data[[#This Row],[Zysk brutto
(Gross profit)]]/Processed_data[[#This Row],[Przychód brutto (Revenue)]]</f>
        <v>0.22763839959348453</v>
      </c>
      <c r="K39" t="str">
        <f>IF(Processed_data[[#This Row],[Marża (Margin)]]&gt;0.6,"wysoka",IF(Processed_data[[#This Row],[Marża (Margin)]]&gt;0.3,"średnia","niska"))</f>
        <v>niska</v>
      </c>
      <c r="L39">
        <f>MONTH(Raw_Data[[#This Row],[Data zamów. (Order date)]])</f>
        <v>12</v>
      </c>
      <c r="M39" t="str">
        <f>TEXT(Raw_Data[[#This Row],[Data zamów. (Order date)]], "MMMM")</f>
        <v>grudzień</v>
      </c>
      <c r="N39">
        <f>IF(Processed_data[[#This Row],[Miesiąc (Month)]]&lt;=3,1,IF(Processed_data[[#This Row],[Miesiąc (Month)]]&lt;=6,2,IF(Processed_data[[#This Row],[Miesiąc (Month)]]&lt;=9,3,4)))</f>
        <v>4</v>
      </c>
    </row>
    <row r="40" spans="1:14" x14ac:dyDescent="0.25">
      <c r="A40" s="6" t="str">
        <f>Raw_Data[[#This Row],[ID zamów. (Order ID)]]</f>
        <v>ORD0039</v>
      </c>
      <c r="B40" s="6" t="str">
        <f>Raw_Data[[#This Row],[ID klienta (Client ID)]]</f>
        <v>CUST8430</v>
      </c>
      <c r="C40" s="6" t="str">
        <f>_xlfn.XLOOKUP(Raw_Data[[#This Row],[Produkt (Product)]],'Product lookup table'!$A$2:$A$20,'Product lookup table'!$B$2:$B$20)</f>
        <v>Kosmetyki</v>
      </c>
      <c r="D40" s="6" t="str">
        <f>Raw_Data[[#This Row],[Produkt (Product)]]</f>
        <v>Olejek</v>
      </c>
      <c r="E40" s="6" t="str">
        <f>Raw_Data[[#This Row],[Kanał sprzedaży (Marketplace)]]</f>
        <v>Allegro</v>
      </c>
      <c r="F40" s="6" t="str">
        <f>Raw_Data[[#This Row],[Miasto (City)]]</f>
        <v>Warszawa</v>
      </c>
      <c r="G40" s="6">
        <f>Raw_Data[[#This Row],[Ilość (Quant.)]]</f>
        <v>4</v>
      </c>
      <c r="H40" s="7">
        <f>Raw_Data[[#This Row],[Przychód brutto (Revenue)]]</f>
        <v>53.795333333333332</v>
      </c>
      <c r="I4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29.491706666666666</v>
      </c>
      <c r="J40" s="23">
        <f>Processed_data[[#This Row],[Zysk brutto
(Gross profit)]]/Processed_data[[#This Row],[Przychód brutto (Revenue)]]</f>
        <v>0.54822053957592354</v>
      </c>
      <c r="K40" t="str">
        <f>IF(Processed_data[[#This Row],[Marża (Margin)]]&gt;0.6,"wysoka",IF(Processed_data[[#This Row],[Marża (Margin)]]&gt;0.3,"średnia","niska"))</f>
        <v>średnia</v>
      </c>
      <c r="L40">
        <f>MONTH(Raw_Data[[#This Row],[Data zamów. (Order date)]])</f>
        <v>8</v>
      </c>
      <c r="M40" t="str">
        <f>TEXT(Raw_Data[[#This Row],[Data zamów. (Order date)]], "MMMM")</f>
        <v>sierpień</v>
      </c>
      <c r="N40">
        <f>IF(Processed_data[[#This Row],[Miesiąc (Month)]]&lt;=3,1,IF(Processed_data[[#This Row],[Miesiąc (Month)]]&lt;=6,2,IF(Processed_data[[#This Row],[Miesiąc (Month)]]&lt;=9,3,4)))</f>
        <v>3</v>
      </c>
    </row>
    <row r="41" spans="1:14" x14ac:dyDescent="0.25">
      <c r="A41" s="6" t="str">
        <f>Raw_Data[[#This Row],[ID zamów. (Order ID)]]</f>
        <v>ORD0040</v>
      </c>
      <c r="B41" s="6" t="str">
        <f>Raw_Data[[#This Row],[ID klienta (Client ID)]]</f>
        <v>CUST8430</v>
      </c>
      <c r="C41" s="6" t="str">
        <f>_xlfn.XLOOKUP(Raw_Data[[#This Row],[Produkt (Product)]],'Product lookup table'!$A$2:$A$20,'Product lookup table'!$B$2:$B$20)</f>
        <v>Outdoor</v>
      </c>
      <c r="D41" s="6" t="str">
        <f>Raw_Data[[#This Row],[Produkt (Product)]]</f>
        <v>Namiot</v>
      </c>
      <c r="E41" s="6" t="str">
        <f>Raw_Data[[#This Row],[Kanał sprzedaży (Marketplace)]]</f>
        <v>Amazon</v>
      </c>
      <c r="F41" s="6" t="str">
        <f>Raw_Data[[#This Row],[Miasto (City)]]</f>
        <v>Warszawa</v>
      </c>
      <c r="G41" s="6">
        <f>Raw_Data[[#This Row],[Ilość (Quant.)]]</f>
        <v>5</v>
      </c>
      <c r="H41" s="7">
        <f>Raw_Data[[#This Row],[Przychód brutto (Revenue)]]</f>
        <v>2909.6642857142851</v>
      </c>
      <c r="I4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760.5045714285709</v>
      </c>
      <c r="J41" s="23">
        <f>Processed_data[[#This Row],[Zysk brutto
(Gross profit)]]/Processed_data[[#This Row],[Przychód brutto (Revenue)]]</f>
        <v>0.26137193048780771</v>
      </c>
      <c r="K41" t="str">
        <f>IF(Processed_data[[#This Row],[Marża (Margin)]]&gt;0.6,"wysoka",IF(Processed_data[[#This Row],[Marża (Margin)]]&gt;0.3,"średnia","niska"))</f>
        <v>niska</v>
      </c>
      <c r="L41">
        <f>MONTH(Raw_Data[[#This Row],[Data zamów. (Order date)]])</f>
        <v>9</v>
      </c>
      <c r="M41" t="str">
        <f>TEXT(Raw_Data[[#This Row],[Data zamów. (Order date)]], "MMMM")</f>
        <v>wrzesień</v>
      </c>
      <c r="N41">
        <f>IF(Processed_data[[#This Row],[Miesiąc (Month)]]&lt;=3,1,IF(Processed_data[[#This Row],[Miesiąc (Month)]]&lt;=6,2,IF(Processed_data[[#This Row],[Miesiąc (Month)]]&lt;=9,3,4)))</f>
        <v>3</v>
      </c>
    </row>
    <row r="42" spans="1:14" x14ac:dyDescent="0.25">
      <c r="A42" s="6" t="str">
        <f>Raw_Data[[#This Row],[ID zamów. (Order ID)]]</f>
        <v>ORD0041</v>
      </c>
      <c r="B42" s="6" t="str">
        <f>Raw_Data[[#This Row],[ID klienta (Client ID)]]</f>
        <v>CUST4886</v>
      </c>
      <c r="C42" s="6" t="str">
        <f>_xlfn.XLOOKUP(Raw_Data[[#This Row],[Produkt (Product)]],'Product lookup table'!$A$2:$A$20,'Product lookup table'!$B$2:$B$20)</f>
        <v>Home</v>
      </c>
      <c r="D42" s="6" t="str">
        <f>Raw_Data[[#This Row],[Produkt (Product)]]</f>
        <v>Kubek</v>
      </c>
      <c r="E42" s="6" t="str">
        <f>Raw_Data[[#This Row],[Kanał sprzedaży (Marketplace)]]</f>
        <v>Shopify</v>
      </c>
      <c r="F42" s="6" t="str">
        <f>Raw_Data[[#This Row],[Miasto (City)]]</f>
        <v>Wrocław</v>
      </c>
      <c r="G42" s="6">
        <f>Raw_Data[[#This Row],[Ilość (Quant.)]]</f>
        <v>4</v>
      </c>
      <c r="H42" s="7">
        <f>Raw_Data[[#This Row],[Przychód brutto (Revenue)]]</f>
        <v>88.951090909090908</v>
      </c>
      <c r="I4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52.951090909090908</v>
      </c>
      <c r="J42" s="23">
        <f>Processed_data[[#This Row],[Zysk brutto
(Gross profit)]]/Processed_data[[#This Row],[Przychód brutto (Revenue)]]</f>
        <v>0.59528320977207083</v>
      </c>
      <c r="K42" t="str">
        <f>IF(Processed_data[[#This Row],[Marża (Margin)]]&gt;0.6,"wysoka",IF(Processed_data[[#This Row],[Marża (Margin)]]&gt;0.3,"średnia","niska"))</f>
        <v>średnia</v>
      </c>
      <c r="L42">
        <f>MONTH(Raw_Data[[#This Row],[Data zamów. (Order date)]])</f>
        <v>3</v>
      </c>
      <c r="M42" t="str">
        <f>TEXT(Raw_Data[[#This Row],[Data zamów. (Order date)]], "MMMM")</f>
        <v>marzec</v>
      </c>
      <c r="N42">
        <f>IF(Processed_data[[#This Row],[Miesiąc (Month)]]&lt;=3,1,IF(Processed_data[[#This Row],[Miesiąc (Month)]]&lt;=6,2,IF(Processed_data[[#This Row],[Miesiąc (Month)]]&lt;=9,3,4)))</f>
        <v>1</v>
      </c>
    </row>
    <row r="43" spans="1:14" x14ac:dyDescent="0.25">
      <c r="A43" s="6" t="str">
        <f>Raw_Data[[#This Row],[ID zamów. (Order ID)]]</f>
        <v>ORD0042</v>
      </c>
      <c r="B43" s="6" t="str">
        <f>Raw_Data[[#This Row],[ID klienta (Client ID)]]</f>
        <v>CUST4886</v>
      </c>
      <c r="C43" s="6" t="str">
        <f>_xlfn.XLOOKUP(Raw_Data[[#This Row],[Produkt (Product)]],'Product lookup table'!$A$2:$A$20,'Product lookup table'!$B$2:$B$20)</f>
        <v>Kosmetyki</v>
      </c>
      <c r="D43" s="6" t="str">
        <f>Raw_Data[[#This Row],[Produkt (Product)]]</f>
        <v>Żel pod prysznic</v>
      </c>
      <c r="E43" s="6" t="str">
        <f>Raw_Data[[#This Row],[Kanał sprzedaży (Marketplace)]]</f>
        <v>Allegro</v>
      </c>
      <c r="F43" s="6" t="str">
        <f>Raw_Data[[#This Row],[Miasto (City)]]</f>
        <v>Wrocław</v>
      </c>
      <c r="G43" s="6">
        <f>Raw_Data[[#This Row],[Ilość (Quant.)]]</f>
        <v>4</v>
      </c>
      <c r="H43" s="7">
        <f>Raw_Data[[#This Row],[Przychód brutto (Revenue)]]</f>
        <v>23.944000000000003</v>
      </c>
      <c r="I4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12.028480000000002</v>
      </c>
      <c r="J43" s="23">
        <f>Processed_data[[#This Row],[Zysk brutto
(Gross profit)]]/Processed_data[[#This Row],[Przychód brutto (Revenue)]]</f>
        <v>0.50235883728700303</v>
      </c>
      <c r="K43" t="str">
        <f>IF(Processed_data[[#This Row],[Marża (Margin)]]&gt;0.6,"wysoka",IF(Processed_data[[#This Row],[Marża (Margin)]]&gt;0.3,"średnia","niska"))</f>
        <v>średnia</v>
      </c>
      <c r="L43">
        <f>MONTH(Raw_Data[[#This Row],[Data zamów. (Order date)]])</f>
        <v>10</v>
      </c>
      <c r="M43" t="str">
        <f>TEXT(Raw_Data[[#This Row],[Data zamów. (Order date)]], "MMMM")</f>
        <v>październik</v>
      </c>
      <c r="N43">
        <f>IF(Processed_data[[#This Row],[Miesiąc (Month)]]&lt;=3,1,IF(Processed_data[[#This Row],[Miesiąc (Month)]]&lt;=6,2,IF(Processed_data[[#This Row],[Miesiąc (Month)]]&lt;=9,3,4)))</f>
        <v>4</v>
      </c>
    </row>
    <row r="44" spans="1:14" x14ac:dyDescent="0.25">
      <c r="A44" s="6" t="str">
        <f>Raw_Data[[#This Row],[ID zamów. (Order ID)]]</f>
        <v>ORD0043</v>
      </c>
      <c r="B44" s="6" t="str">
        <f>Raw_Data[[#This Row],[ID klienta (Client ID)]]</f>
        <v>CUST4886</v>
      </c>
      <c r="C44" s="6" t="str">
        <f>_xlfn.XLOOKUP(Raw_Data[[#This Row],[Produkt (Product)]],'Product lookup table'!$A$2:$A$20,'Product lookup table'!$B$2:$B$20)</f>
        <v>Outdoor</v>
      </c>
      <c r="D44" s="6" t="str">
        <f>Raw_Data[[#This Row],[Produkt (Product)]]</f>
        <v>Śpiwór</v>
      </c>
      <c r="E44" s="6" t="str">
        <f>Raw_Data[[#This Row],[Kanał sprzedaży (Marketplace)]]</f>
        <v>Allegro</v>
      </c>
      <c r="F44" s="6" t="str">
        <f>Raw_Data[[#This Row],[Miasto (City)]]</f>
        <v>Wrocław</v>
      </c>
      <c r="G44" s="6">
        <f>Raw_Data[[#This Row],[Ilość (Quant.)]]</f>
        <v>3</v>
      </c>
      <c r="H44" s="7">
        <f>Raw_Data[[#This Row],[Przychód brutto (Revenue)]]</f>
        <v>1339.6716428571426</v>
      </c>
      <c r="I4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422.49791142857123</v>
      </c>
      <c r="J44" s="23">
        <f>Processed_data[[#This Row],[Zysk brutto
(Gross profit)]]/Processed_data[[#This Row],[Przychód brutto (Revenue)]]</f>
        <v>0.31537422896218215</v>
      </c>
      <c r="K44" t="str">
        <f>IF(Processed_data[[#This Row],[Marża (Margin)]]&gt;0.6,"wysoka",IF(Processed_data[[#This Row],[Marża (Margin)]]&gt;0.3,"średnia","niska"))</f>
        <v>średnia</v>
      </c>
      <c r="L44">
        <f>MONTH(Raw_Data[[#This Row],[Data zamów. (Order date)]])</f>
        <v>6</v>
      </c>
      <c r="M44" t="str">
        <f>TEXT(Raw_Data[[#This Row],[Data zamów. (Order date)]], "MMMM")</f>
        <v>czerwiec</v>
      </c>
      <c r="N44">
        <f>IF(Processed_data[[#This Row],[Miesiąc (Month)]]&lt;=3,1,IF(Processed_data[[#This Row],[Miesiąc (Month)]]&lt;=6,2,IF(Processed_data[[#This Row],[Miesiąc (Month)]]&lt;=9,3,4)))</f>
        <v>2</v>
      </c>
    </row>
    <row r="45" spans="1:14" x14ac:dyDescent="0.25">
      <c r="A45" s="6" t="str">
        <f>Raw_Data[[#This Row],[ID zamów. (Order ID)]]</f>
        <v>ORD0044</v>
      </c>
      <c r="B45" s="6" t="str">
        <f>Raw_Data[[#This Row],[ID klienta (Client ID)]]</f>
        <v>CUST4886</v>
      </c>
      <c r="C45" s="6" t="str">
        <f>_xlfn.XLOOKUP(Raw_Data[[#This Row],[Produkt (Product)]],'Product lookup table'!$A$2:$A$20,'Product lookup table'!$B$2:$B$20)</f>
        <v>Kosmetyki</v>
      </c>
      <c r="D45" s="6" t="str">
        <f>Raw_Data[[#This Row],[Produkt (Product)]]</f>
        <v>Szampon</v>
      </c>
      <c r="E45" s="6" t="str">
        <f>Raw_Data[[#This Row],[Kanał sprzedaży (Marketplace)]]</f>
        <v>Empik Marketplace</v>
      </c>
      <c r="F45" s="6" t="str">
        <f>Raw_Data[[#This Row],[Miasto (City)]]</f>
        <v>Wrocław</v>
      </c>
      <c r="G45" s="6">
        <f>Raw_Data[[#This Row],[Ilość (Quant.)]]</f>
        <v>2</v>
      </c>
      <c r="H45" s="7">
        <f>Raw_Data[[#This Row],[Przychód brutto (Revenue)]]</f>
        <v>18.657777777777774</v>
      </c>
      <c r="I4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9.7919999999999963</v>
      </c>
      <c r="J45" s="23">
        <f>Processed_data[[#This Row],[Zysk brutto
(Gross profit)]]/Processed_data[[#This Row],[Przychód brutto (Revenue)]]</f>
        <v>0.52482134349690324</v>
      </c>
      <c r="K45" t="str">
        <f>IF(Processed_data[[#This Row],[Marża (Margin)]]&gt;0.6,"wysoka",IF(Processed_data[[#This Row],[Marża (Margin)]]&gt;0.3,"średnia","niska"))</f>
        <v>średnia</v>
      </c>
      <c r="L45">
        <f>MONTH(Raw_Data[[#This Row],[Data zamów. (Order date)]])</f>
        <v>4</v>
      </c>
      <c r="M45" t="str">
        <f>TEXT(Raw_Data[[#This Row],[Data zamów. (Order date)]], "MMMM")</f>
        <v>kwiecień</v>
      </c>
      <c r="N45">
        <f>IF(Processed_data[[#This Row],[Miesiąc (Month)]]&lt;=3,1,IF(Processed_data[[#This Row],[Miesiąc (Month)]]&lt;=6,2,IF(Processed_data[[#This Row],[Miesiąc (Month)]]&lt;=9,3,4)))</f>
        <v>2</v>
      </c>
    </row>
    <row r="46" spans="1:14" x14ac:dyDescent="0.25">
      <c r="A46" s="6" t="str">
        <f>Raw_Data[[#This Row],[ID zamów. (Order ID)]]</f>
        <v>ORD0045</v>
      </c>
      <c r="B46" s="6" t="str">
        <f>Raw_Data[[#This Row],[ID klienta (Client ID)]]</f>
        <v>CUST4886</v>
      </c>
      <c r="C46" s="6" t="str">
        <f>_xlfn.XLOOKUP(Raw_Data[[#This Row],[Produkt (Product)]],'Product lookup table'!$A$2:$A$20,'Product lookup table'!$B$2:$B$20)</f>
        <v>Home</v>
      </c>
      <c r="D46" s="6" t="str">
        <f>Raw_Data[[#This Row],[Produkt (Product)]]</f>
        <v>Świeca zapachowa</v>
      </c>
      <c r="E46" s="6" t="str">
        <f>Raw_Data[[#This Row],[Kanał sprzedaży (Marketplace)]]</f>
        <v>Empik Marketplace</v>
      </c>
      <c r="F46" s="6" t="str">
        <f>Raw_Data[[#This Row],[Miasto (City)]]</f>
        <v>Wrocław</v>
      </c>
      <c r="G46" s="6">
        <f>Raw_Data[[#This Row],[Ilość (Quant.)]]</f>
        <v>3</v>
      </c>
      <c r="H46" s="7">
        <f>Raw_Data[[#This Row],[Przychód brutto (Revenue)]]</f>
        <v>114.50427272727273</v>
      </c>
      <c r="I4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43.05384545454546</v>
      </c>
      <c r="J46" s="23">
        <f>Processed_data[[#This Row],[Zysk brutto
(Gross profit)]]/Processed_data[[#This Row],[Przychód brutto (Revenue)]]</f>
        <v>0.37600208646441935</v>
      </c>
      <c r="K46" t="str">
        <f>IF(Processed_data[[#This Row],[Marża (Margin)]]&gt;0.6,"wysoka",IF(Processed_data[[#This Row],[Marża (Margin)]]&gt;0.3,"średnia","niska"))</f>
        <v>średnia</v>
      </c>
      <c r="L46">
        <f>MONTH(Raw_Data[[#This Row],[Data zamów. (Order date)]])</f>
        <v>7</v>
      </c>
      <c r="M46" t="str">
        <f>TEXT(Raw_Data[[#This Row],[Data zamów. (Order date)]], "MMMM")</f>
        <v>lipiec</v>
      </c>
      <c r="N46">
        <f>IF(Processed_data[[#This Row],[Miesiąc (Month)]]&lt;=3,1,IF(Processed_data[[#This Row],[Miesiąc (Month)]]&lt;=6,2,IF(Processed_data[[#This Row],[Miesiąc (Month)]]&lt;=9,3,4)))</f>
        <v>3</v>
      </c>
    </row>
    <row r="47" spans="1:14" x14ac:dyDescent="0.25">
      <c r="A47" s="6" t="str">
        <f>Raw_Data[[#This Row],[ID zamów. (Order ID)]]</f>
        <v>ORD0046</v>
      </c>
      <c r="B47" s="6" t="str">
        <f>Raw_Data[[#This Row],[ID klienta (Client ID)]]</f>
        <v>CUST7265</v>
      </c>
      <c r="C47" s="6" t="str">
        <f>_xlfn.XLOOKUP(Raw_Data[[#This Row],[Produkt (Product)]],'Product lookup table'!$A$2:$A$20,'Product lookup table'!$B$2:$B$20)</f>
        <v>Elektronika</v>
      </c>
      <c r="D47" s="6" t="str">
        <f>Raw_Data[[#This Row],[Produkt (Product)]]</f>
        <v>Powerbank</v>
      </c>
      <c r="E47" s="6" t="str">
        <f>Raw_Data[[#This Row],[Kanał sprzedaży (Marketplace)]]</f>
        <v>Amazon</v>
      </c>
      <c r="F47" s="6" t="str">
        <f>Raw_Data[[#This Row],[Miasto (City)]]</f>
        <v>Wrocław</v>
      </c>
      <c r="G47" s="6">
        <f>Raw_Data[[#This Row],[Ilość (Quant.)]]</f>
        <v>3</v>
      </c>
      <c r="H47" s="7">
        <f>Raw_Data[[#This Row],[Przychód brutto (Revenue)]]</f>
        <v>347.95402173913044</v>
      </c>
      <c r="I4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66.199539130434786</v>
      </c>
      <c r="J47" s="23">
        <f>Processed_data[[#This Row],[Zysk brutto
(Gross profit)]]/Processed_data[[#This Row],[Przychód brutto (Revenue)]]</f>
        <v>0.19025369731195746</v>
      </c>
      <c r="K47" t="str">
        <f>IF(Processed_data[[#This Row],[Marża (Margin)]]&gt;0.6,"wysoka",IF(Processed_data[[#This Row],[Marża (Margin)]]&gt;0.3,"średnia","niska"))</f>
        <v>niska</v>
      </c>
      <c r="L47">
        <f>MONTH(Raw_Data[[#This Row],[Data zamów. (Order date)]])</f>
        <v>1</v>
      </c>
      <c r="M47" t="str">
        <f>TEXT(Raw_Data[[#This Row],[Data zamów. (Order date)]], "MMMM")</f>
        <v>styczeń</v>
      </c>
      <c r="N47">
        <f>IF(Processed_data[[#This Row],[Miesiąc (Month)]]&lt;=3,1,IF(Processed_data[[#This Row],[Miesiąc (Month)]]&lt;=6,2,IF(Processed_data[[#This Row],[Miesiąc (Month)]]&lt;=9,3,4)))</f>
        <v>1</v>
      </c>
    </row>
    <row r="48" spans="1:14" x14ac:dyDescent="0.25">
      <c r="A48" s="6" t="str">
        <f>Raw_Data[[#This Row],[ID zamów. (Order ID)]]</f>
        <v>ORD0047</v>
      </c>
      <c r="B48" s="6" t="str">
        <f>Raw_Data[[#This Row],[ID klienta (Client ID)]]</f>
        <v>CUST3365</v>
      </c>
      <c r="C48" s="6" t="str">
        <f>_xlfn.XLOOKUP(Raw_Data[[#This Row],[Produkt (Product)]],'Product lookup table'!$A$2:$A$20,'Product lookup table'!$B$2:$B$20)</f>
        <v>Kosmetyki</v>
      </c>
      <c r="D48" s="6" t="str">
        <f>Raw_Data[[#This Row],[Produkt (Product)]]</f>
        <v>Krem do twarzy</v>
      </c>
      <c r="E48" s="6" t="str">
        <f>Raw_Data[[#This Row],[Kanał sprzedaży (Marketplace)]]</f>
        <v>Empik Marketplace</v>
      </c>
      <c r="F48" s="6" t="str">
        <f>Raw_Data[[#This Row],[Miasto (City)]]</f>
        <v>Wrocław</v>
      </c>
      <c r="G48" s="6">
        <f>Raw_Data[[#This Row],[Ilość (Quant.)]]</f>
        <v>2</v>
      </c>
      <c r="H48" s="7">
        <f>Raw_Data[[#This Row],[Przychód brutto (Revenue)]]</f>
        <v>139.10322222222223</v>
      </c>
      <c r="I4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75.192900000000009</v>
      </c>
      <c r="J48" s="23">
        <f>Processed_data[[#This Row],[Zysk brutto
(Gross profit)]]/Processed_data[[#This Row],[Przychód brutto (Revenue)]]</f>
        <v>0.54055469599314343</v>
      </c>
      <c r="K48" t="str">
        <f>IF(Processed_data[[#This Row],[Marża (Margin)]]&gt;0.6,"wysoka",IF(Processed_data[[#This Row],[Marża (Margin)]]&gt;0.3,"średnia","niska"))</f>
        <v>średnia</v>
      </c>
      <c r="L48">
        <f>MONTH(Raw_Data[[#This Row],[Data zamów. (Order date)]])</f>
        <v>5</v>
      </c>
      <c r="M48" t="str">
        <f>TEXT(Raw_Data[[#This Row],[Data zamów. (Order date)]], "MMMM")</f>
        <v>maj</v>
      </c>
      <c r="N48">
        <f>IF(Processed_data[[#This Row],[Miesiąc (Month)]]&lt;=3,1,IF(Processed_data[[#This Row],[Miesiąc (Month)]]&lt;=6,2,IF(Processed_data[[#This Row],[Miesiąc (Month)]]&lt;=9,3,4)))</f>
        <v>2</v>
      </c>
    </row>
    <row r="49" spans="1:14" x14ac:dyDescent="0.25">
      <c r="A49" s="6" t="str">
        <f>Raw_Data[[#This Row],[ID zamów. (Order ID)]]</f>
        <v>ORD0048</v>
      </c>
      <c r="B49" s="6" t="str">
        <f>Raw_Data[[#This Row],[ID klienta (Client ID)]]</f>
        <v>CUST3365</v>
      </c>
      <c r="C49" s="6" t="str">
        <f>_xlfn.XLOOKUP(Raw_Data[[#This Row],[Produkt (Product)]],'Product lookup table'!$A$2:$A$20,'Product lookup table'!$B$2:$B$20)</f>
        <v>Elektronika</v>
      </c>
      <c r="D49" s="6" t="str">
        <f>Raw_Data[[#This Row],[Produkt (Product)]]</f>
        <v>Myszka</v>
      </c>
      <c r="E49" s="6" t="str">
        <f>Raw_Data[[#This Row],[Kanał sprzedaży (Marketplace)]]</f>
        <v>Amazon</v>
      </c>
      <c r="F49" s="6" t="str">
        <f>Raw_Data[[#This Row],[Miasto (City)]]</f>
        <v>Wrocław</v>
      </c>
      <c r="G49" s="6">
        <f>Raw_Data[[#This Row],[Ilość (Quant.)]]</f>
        <v>3</v>
      </c>
      <c r="H49" s="7">
        <f>Raw_Data[[#This Row],[Przychód brutto (Revenue)]]</f>
        <v>243.57652173913047</v>
      </c>
      <c r="I4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4.3473391304348148</v>
      </c>
      <c r="J49" s="23">
        <f>Processed_data[[#This Row],[Zysk brutto
(Gross profit)]]/Processed_data[[#This Row],[Przychód brutto (Revenue)]]</f>
        <v>1.7847939938524938E-2</v>
      </c>
      <c r="K49" t="str">
        <f>IF(Processed_data[[#This Row],[Marża (Margin)]]&gt;0.6,"wysoka",IF(Processed_data[[#This Row],[Marża (Margin)]]&gt;0.3,"średnia","niska"))</f>
        <v>niska</v>
      </c>
      <c r="L49">
        <f>MONTH(Raw_Data[[#This Row],[Data zamów. (Order date)]])</f>
        <v>11</v>
      </c>
      <c r="M49" t="str">
        <f>TEXT(Raw_Data[[#This Row],[Data zamów. (Order date)]], "MMMM")</f>
        <v>listopad</v>
      </c>
      <c r="N49">
        <f>IF(Processed_data[[#This Row],[Miesiąc (Month)]]&lt;=3,1,IF(Processed_data[[#This Row],[Miesiąc (Month)]]&lt;=6,2,IF(Processed_data[[#This Row],[Miesiąc (Month)]]&lt;=9,3,4)))</f>
        <v>4</v>
      </c>
    </row>
    <row r="50" spans="1:14" x14ac:dyDescent="0.25">
      <c r="A50" s="6" t="str">
        <f>Raw_Data[[#This Row],[ID zamów. (Order ID)]]</f>
        <v>ORD0049</v>
      </c>
      <c r="B50" s="6" t="str">
        <f>Raw_Data[[#This Row],[ID klienta (Client ID)]]</f>
        <v>CUST5776</v>
      </c>
      <c r="C50" s="6" t="str">
        <f>_xlfn.XLOOKUP(Raw_Data[[#This Row],[Produkt (Product)]],'Product lookup table'!$A$2:$A$20,'Product lookup table'!$B$2:$B$20)</f>
        <v>Outdoor</v>
      </c>
      <c r="D50" s="6" t="str">
        <f>Raw_Data[[#This Row],[Produkt (Product)]]</f>
        <v>Latarka</v>
      </c>
      <c r="E50" s="6" t="str">
        <f>Raw_Data[[#This Row],[Kanał sprzedaży (Marketplace)]]</f>
        <v>Allegro</v>
      </c>
      <c r="F50" s="6" t="str">
        <f>Raw_Data[[#This Row],[Miasto (City)]]</f>
        <v>Kraków</v>
      </c>
      <c r="G50" s="6">
        <f>Raw_Data[[#This Row],[Ilość (Quant.)]]</f>
        <v>5</v>
      </c>
      <c r="H50" s="7">
        <f>Raw_Data[[#This Row],[Przychód brutto (Revenue)]]</f>
        <v>175.9075</v>
      </c>
      <c r="I5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21.834899999999998</v>
      </c>
      <c r="J50" s="23">
        <f>Processed_data[[#This Row],[Zysk brutto
(Gross profit)]]/Processed_data[[#This Row],[Przychód brutto (Revenue)]]</f>
        <v>0.12412716910876453</v>
      </c>
      <c r="K50" t="str">
        <f>IF(Processed_data[[#This Row],[Marża (Margin)]]&gt;0.6,"wysoka",IF(Processed_data[[#This Row],[Marża (Margin)]]&gt;0.3,"średnia","niska"))</f>
        <v>niska</v>
      </c>
      <c r="L50">
        <f>MONTH(Raw_Data[[#This Row],[Data zamów. (Order date)]])</f>
        <v>12</v>
      </c>
      <c r="M50" t="str">
        <f>TEXT(Raw_Data[[#This Row],[Data zamów. (Order date)]], "MMMM")</f>
        <v>grudzień</v>
      </c>
      <c r="N50">
        <f>IF(Processed_data[[#This Row],[Miesiąc (Month)]]&lt;=3,1,IF(Processed_data[[#This Row],[Miesiąc (Month)]]&lt;=6,2,IF(Processed_data[[#This Row],[Miesiąc (Month)]]&lt;=9,3,4)))</f>
        <v>4</v>
      </c>
    </row>
    <row r="51" spans="1:14" x14ac:dyDescent="0.25">
      <c r="A51" s="6" t="str">
        <f>Raw_Data[[#This Row],[ID zamów. (Order ID)]]</f>
        <v>ORD0050</v>
      </c>
      <c r="B51" s="6" t="str">
        <f>Raw_Data[[#This Row],[ID klienta (Client ID)]]</f>
        <v>CUST2763</v>
      </c>
      <c r="C51" s="6" t="str">
        <f>_xlfn.XLOOKUP(Raw_Data[[#This Row],[Produkt (Product)]],'Product lookup table'!$A$2:$A$20,'Product lookup table'!$B$2:$B$20)</f>
        <v>Kosmetyki</v>
      </c>
      <c r="D51" s="6" t="str">
        <f>Raw_Data[[#This Row],[Produkt (Product)]]</f>
        <v>Serum</v>
      </c>
      <c r="E51" s="6" t="str">
        <f>Raw_Data[[#This Row],[Kanał sprzedaży (Marketplace)]]</f>
        <v>Empik Marketplace</v>
      </c>
      <c r="F51" s="6" t="str">
        <f>Raw_Data[[#This Row],[Miasto (City)]]</f>
        <v>Łódź</v>
      </c>
      <c r="G51" s="6">
        <f>Raw_Data[[#This Row],[Ilość (Quant.)]]</f>
        <v>3</v>
      </c>
      <c r="H51" s="7">
        <f>Raw_Data[[#This Row],[Przychód brutto (Revenue)]]</f>
        <v>212.733</v>
      </c>
      <c r="I5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101.4597</v>
      </c>
      <c r="J51" s="23">
        <f>Processed_data[[#This Row],[Zysk brutto
(Gross profit)]]/Processed_data[[#This Row],[Przychód brutto (Revenue)]]</f>
        <v>0.47693446714896137</v>
      </c>
      <c r="K51" t="str">
        <f>IF(Processed_data[[#This Row],[Marża (Margin)]]&gt;0.6,"wysoka",IF(Processed_data[[#This Row],[Marża (Margin)]]&gt;0.3,"średnia","niska"))</f>
        <v>średnia</v>
      </c>
      <c r="L51">
        <f>MONTH(Raw_Data[[#This Row],[Data zamów. (Order date)]])</f>
        <v>4</v>
      </c>
      <c r="M51" t="str">
        <f>TEXT(Raw_Data[[#This Row],[Data zamów. (Order date)]], "MMMM")</f>
        <v>kwiecień</v>
      </c>
      <c r="N51">
        <f>IF(Processed_data[[#This Row],[Miesiąc (Month)]]&lt;=3,1,IF(Processed_data[[#This Row],[Miesiąc (Month)]]&lt;=6,2,IF(Processed_data[[#This Row],[Miesiąc (Month)]]&lt;=9,3,4)))</f>
        <v>2</v>
      </c>
    </row>
    <row r="52" spans="1:14" x14ac:dyDescent="0.25">
      <c r="A52" s="6" t="str">
        <f>Raw_Data[[#This Row],[ID zamów. (Order ID)]]</f>
        <v>ORD0051</v>
      </c>
      <c r="B52" s="6" t="str">
        <f>Raw_Data[[#This Row],[ID klienta (Client ID)]]</f>
        <v>CUST3324</v>
      </c>
      <c r="C52" s="6" t="str">
        <f>_xlfn.XLOOKUP(Raw_Data[[#This Row],[Produkt (Product)]],'Product lookup table'!$A$2:$A$20,'Product lookup table'!$B$2:$B$20)</f>
        <v>Kosmetyki</v>
      </c>
      <c r="D52" s="6" t="str">
        <f>Raw_Data[[#This Row],[Produkt (Product)]]</f>
        <v>Paleta cieni</v>
      </c>
      <c r="E52" s="6" t="str">
        <f>Raw_Data[[#This Row],[Kanał sprzedaży (Marketplace)]]</f>
        <v>Empik Marketplace</v>
      </c>
      <c r="F52" s="6" t="str">
        <f>Raw_Data[[#This Row],[Miasto (City)]]</f>
        <v>Kraków</v>
      </c>
      <c r="G52" s="6">
        <f>Raw_Data[[#This Row],[Ilość (Quant.)]]</f>
        <v>5</v>
      </c>
      <c r="H52" s="7">
        <f>Raw_Data[[#This Row],[Przychód brutto (Revenue)]]</f>
        <v>520.50555555555547</v>
      </c>
      <c r="I5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268.45499999999993</v>
      </c>
      <c r="J52" s="23">
        <f>Processed_data[[#This Row],[Zysk brutto
(Gross profit)]]/Processed_data[[#This Row],[Przychód brutto (Revenue)]]</f>
        <v>0.51575818381701544</v>
      </c>
      <c r="K52" t="str">
        <f>IF(Processed_data[[#This Row],[Marża (Margin)]]&gt;0.6,"wysoka",IF(Processed_data[[#This Row],[Marża (Margin)]]&gt;0.3,"średnia","niska"))</f>
        <v>średnia</v>
      </c>
      <c r="L52">
        <f>MONTH(Raw_Data[[#This Row],[Data zamów. (Order date)]])</f>
        <v>1</v>
      </c>
      <c r="M52" t="str">
        <f>TEXT(Raw_Data[[#This Row],[Data zamów. (Order date)]], "MMMM")</f>
        <v>styczeń</v>
      </c>
      <c r="N52">
        <f>IF(Processed_data[[#This Row],[Miesiąc (Month)]]&lt;=3,1,IF(Processed_data[[#This Row],[Miesiąc (Month)]]&lt;=6,2,IF(Processed_data[[#This Row],[Miesiąc (Month)]]&lt;=9,3,4)))</f>
        <v>1</v>
      </c>
    </row>
    <row r="53" spans="1:14" x14ac:dyDescent="0.25">
      <c r="A53" s="6" t="str">
        <f>Raw_Data[[#This Row],[ID zamów. (Order ID)]]</f>
        <v>ORD0052</v>
      </c>
      <c r="B53" s="6" t="str">
        <f>Raw_Data[[#This Row],[ID klienta (Client ID)]]</f>
        <v>CUST6309</v>
      </c>
      <c r="C53" s="6" t="str">
        <f>_xlfn.XLOOKUP(Raw_Data[[#This Row],[Produkt (Product)]],'Product lookup table'!$A$2:$A$20,'Product lookup table'!$B$2:$B$20)</f>
        <v>Home</v>
      </c>
      <c r="D53" s="6" t="str">
        <f>Raw_Data[[#This Row],[Produkt (Product)]]</f>
        <v>Kubek</v>
      </c>
      <c r="E53" s="6" t="str">
        <f>Raw_Data[[#This Row],[Kanał sprzedaży (Marketplace)]]</f>
        <v>Shopify</v>
      </c>
      <c r="F53" s="6" t="str">
        <f>Raw_Data[[#This Row],[Miasto (City)]]</f>
        <v>Łódź</v>
      </c>
      <c r="G53" s="6">
        <f>Raw_Data[[#This Row],[Ilość (Quant.)]]</f>
        <v>3</v>
      </c>
      <c r="H53" s="7">
        <f>Raw_Data[[#This Row],[Przychód brutto (Revenue)]]</f>
        <v>52.104545454545459</v>
      </c>
      <c r="I5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25.104545454545459</v>
      </c>
      <c r="J53" s="23">
        <f>Processed_data[[#This Row],[Zysk brutto
(Gross profit)]]/Processed_data[[#This Row],[Przychód brutto (Revenue)]]</f>
        <v>0.48181104422925941</v>
      </c>
      <c r="K53" t="str">
        <f>IF(Processed_data[[#This Row],[Marża (Margin)]]&gt;0.6,"wysoka",IF(Processed_data[[#This Row],[Marża (Margin)]]&gt;0.3,"średnia","niska"))</f>
        <v>średnia</v>
      </c>
      <c r="L53">
        <f>MONTH(Raw_Data[[#This Row],[Data zamów. (Order date)]])</f>
        <v>3</v>
      </c>
      <c r="M53" t="str">
        <f>TEXT(Raw_Data[[#This Row],[Data zamów. (Order date)]], "MMMM")</f>
        <v>marzec</v>
      </c>
      <c r="N53">
        <f>IF(Processed_data[[#This Row],[Miesiąc (Month)]]&lt;=3,1,IF(Processed_data[[#This Row],[Miesiąc (Month)]]&lt;=6,2,IF(Processed_data[[#This Row],[Miesiąc (Month)]]&lt;=9,3,4)))</f>
        <v>1</v>
      </c>
    </row>
    <row r="54" spans="1:14" x14ac:dyDescent="0.25">
      <c r="A54" s="6" t="str">
        <f>Raw_Data[[#This Row],[ID zamów. (Order ID)]]</f>
        <v>ORD0053</v>
      </c>
      <c r="B54" s="6" t="str">
        <f>Raw_Data[[#This Row],[ID klienta (Client ID)]]</f>
        <v>CUST4573</v>
      </c>
      <c r="C54" s="6" t="str">
        <f>_xlfn.XLOOKUP(Raw_Data[[#This Row],[Produkt (Product)]],'Product lookup table'!$A$2:$A$20,'Product lookup table'!$B$2:$B$20)</f>
        <v>Kosmetyki</v>
      </c>
      <c r="D54" s="6" t="str">
        <f>Raw_Data[[#This Row],[Produkt (Product)]]</f>
        <v>Olejek</v>
      </c>
      <c r="E54" s="6" t="str">
        <f>Raw_Data[[#This Row],[Kanał sprzedaży (Marketplace)]]</f>
        <v>Amazon</v>
      </c>
      <c r="F54" s="6" t="str">
        <f>Raw_Data[[#This Row],[Miasto (City)]]</f>
        <v>Gdańsk</v>
      </c>
      <c r="G54" s="6">
        <f>Raw_Data[[#This Row],[Ilość (Quant.)]]</f>
        <v>1</v>
      </c>
      <c r="H54" s="7">
        <f>Raw_Data[[#This Row],[Przychód brutto (Revenue)]]</f>
        <v>14.688055555555554</v>
      </c>
      <c r="I5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7.9254888888888875</v>
      </c>
      <c r="J54" s="23">
        <f>Processed_data[[#This Row],[Zysk brutto
(Gross profit)]]/Processed_data[[#This Row],[Przychód brutto (Revenue)]]</f>
        <v>0.5395873442139304</v>
      </c>
      <c r="K54" t="str">
        <f>IF(Processed_data[[#This Row],[Marża (Margin)]]&gt;0.6,"wysoka",IF(Processed_data[[#This Row],[Marża (Margin)]]&gt;0.3,"średnia","niska"))</f>
        <v>średnia</v>
      </c>
      <c r="L54">
        <f>MONTH(Raw_Data[[#This Row],[Data zamów. (Order date)]])</f>
        <v>7</v>
      </c>
      <c r="M54" t="str">
        <f>TEXT(Raw_Data[[#This Row],[Data zamów. (Order date)]], "MMMM")</f>
        <v>lipiec</v>
      </c>
      <c r="N54">
        <f>IF(Processed_data[[#This Row],[Miesiąc (Month)]]&lt;=3,1,IF(Processed_data[[#This Row],[Miesiąc (Month)]]&lt;=6,2,IF(Processed_data[[#This Row],[Miesiąc (Month)]]&lt;=9,3,4)))</f>
        <v>3</v>
      </c>
    </row>
    <row r="55" spans="1:14" x14ac:dyDescent="0.25">
      <c r="A55" s="6" t="str">
        <f>Raw_Data[[#This Row],[ID zamów. (Order ID)]]</f>
        <v>ORD0054</v>
      </c>
      <c r="B55" s="6" t="str">
        <f>Raw_Data[[#This Row],[ID klienta (Client ID)]]</f>
        <v>CUST5339</v>
      </c>
      <c r="C55" s="6" t="str">
        <f>_xlfn.XLOOKUP(Raw_Data[[#This Row],[Produkt (Product)]],'Product lookup table'!$A$2:$A$20,'Product lookup table'!$B$2:$B$20)</f>
        <v>Kosmetyki</v>
      </c>
      <c r="D55" s="6" t="str">
        <f>Raw_Data[[#This Row],[Produkt (Product)]]</f>
        <v>Szampon</v>
      </c>
      <c r="E55" s="6" t="str">
        <f>Raw_Data[[#This Row],[Kanał sprzedaży (Marketplace)]]</f>
        <v>Empik Marketplace</v>
      </c>
      <c r="F55" s="6" t="str">
        <f>Raw_Data[[#This Row],[Miasto (City)]]</f>
        <v>Poznań</v>
      </c>
      <c r="G55" s="6">
        <f>Raw_Data[[#This Row],[Ilość (Quant.)]]</f>
        <v>3</v>
      </c>
      <c r="H55" s="7">
        <f>Raw_Data[[#This Row],[Przychód brutto (Revenue)]]</f>
        <v>30.553333333333335</v>
      </c>
      <c r="I5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16.998000000000001</v>
      </c>
      <c r="J55" s="23">
        <f>Processed_data[[#This Row],[Zysk brutto
(Gross profit)]]/Processed_data[[#This Row],[Przychód brutto (Revenue)]]</f>
        <v>0.55633864281038625</v>
      </c>
      <c r="K55" t="str">
        <f>IF(Processed_data[[#This Row],[Marża (Margin)]]&gt;0.6,"wysoka",IF(Processed_data[[#This Row],[Marża (Margin)]]&gt;0.3,"średnia","niska"))</f>
        <v>średnia</v>
      </c>
      <c r="L55">
        <f>MONTH(Raw_Data[[#This Row],[Data zamów. (Order date)]])</f>
        <v>1</v>
      </c>
      <c r="M55" t="str">
        <f>TEXT(Raw_Data[[#This Row],[Data zamów. (Order date)]], "MMMM")</f>
        <v>styczeń</v>
      </c>
      <c r="N55">
        <f>IF(Processed_data[[#This Row],[Miesiąc (Month)]]&lt;=3,1,IF(Processed_data[[#This Row],[Miesiąc (Month)]]&lt;=6,2,IF(Processed_data[[#This Row],[Miesiąc (Month)]]&lt;=9,3,4)))</f>
        <v>1</v>
      </c>
    </row>
    <row r="56" spans="1:14" x14ac:dyDescent="0.25">
      <c r="A56" s="6" t="str">
        <f>Raw_Data[[#This Row],[ID zamów. (Order ID)]]</f>
        <v>ORD0055</v>
      </c>
      <c r="B56" s="6" t="str">
        <f>Raw_Data[[#This Row],[ID klienta (Client ID)]]</f>
        <v>CUST5339</v>
      </c>
      <c r="C56" s="6" t="str">
        <f>_xlfn.XLOOKUP(Raw_Data[[#This Row],[Produkt (Product)]],'Product lookup table'!$A$2:$A$20,'Product lookup table'!$B$2:$B$20)</f>
        <v>Kosmetyki</v>
      </c>
      <c r="D56" s="6" t="str">
        <f>Raw_Data[[#This Row],[Produkt (Product)]]</f>
        <v>Żel pod prysznic</v>
      </c>
      <c r="E56" s="6" t="str">
        <f>Raw_Data[[#This Row],[Kanał sprzedaży (Marketplace)]]</f>
        <v>Allegro</v>
      </c>
      <c r="F56" s="6" t="str">
        <f>Raw_Data[[#This Row],[Miasto (City)]]</f>
        <v>Poznań</v>
      </c>
      <c r="G56" s="6">
        <f>Raw_Data[[#This Row],[Ilość (Quant.)]]</f>
        <v>3</v>
      </c>
      <c r="H56" s="7">
        <f>Raw_Data[[#This Row],[Przychód brutto (Revenue)]]</f>
        <v>21.216666666666661</v>
      </c>
      <c r="I5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12.019333333333329</v>
      </c>
      <c r="J56" s="23">
        <f>Processed_data[[#This Row],[Zysk brutto
(Gross profit)]]/Processed_data[[#This Row],[Przychód brutto (Revenue)]]</f>
        <v>0.56650432050274935</v>
      </c>
      <c r="K56" t="str">
        <f>IF(Processed_data[[#This Row],[Marża (Margin)]]&gt;0.6,"wysoka",IF(Processed_data[[#This Row],[Marża (Margin)]]&gt;0.3,"średnia","niska"))</f>
        <v>średnia</v>
      </c>
      <c r="L56">
        <f>MONTH(Raw_Data[[#This Row],[Data zamów. (Order date)]])</f>
        <v>7</v>
      </c>
      <c r="M56" t="str">
        <f>TEXT(Raw_Data[[#This Row],[Data zamów. (Order date)]], "MMMM")</f>
        <v>lipiec</v>
      </c>
      <c r="N56">
        <f>IF(Processed_data[[#This Row],[Miesiąc (Month)]]&lt;=3,1,IF(Processed_data[[#This Row],[Miesiąc (Month)]]&lt;=6,2,IF(Processed_data[[#This Row],[Miesiąc (Month)]]&lt;=9,3,4)))</f>
        <v>3</v>
      </c>
    </row>
    <row r="57" spans="1:14" x14ac:dyDescent="0.25">
      <c r="A57" s="6" t="str">
        <f>Raw_Data[[#This Row],[ID zamów. (Order ID)]]</f>
        <v>ORD0056</v>
      </c>
      <c r="B57" s="6" t="str">
        <f>Raw_Data[[#This Row],[ID klienta (Client ID)]]</f>
        <v>CUST5339</v>
      </c>
      <c r="C57" s="6" t="str">
        <f>_xlfn.XLOOKUP(Raw_Data[[#This Row],[Produkt (Product)]],'Product lookup table'!$A$2:$A$20,'Product lookup table'!$B$2:$B$20)</f>
        <v>Kosmetyki</v>
      </c>
      <c r="D57" s="6" t="str">
        <f>Raw_Data[[#This Row],[Produkt (Product)]]</f>
        <v>Szampon</v>
      </c>
      <c r="E57" s="6" t="str">
        <f>Raw_Data[[#This Row],[Kanał sprzedaży (Marketplace)]]</f>
        <v>Allegro</v>
      </c>
      <c r="F57" s="6" t="str">
        <f>Raw_Data[[#This Row],[Miasto (City)]]</f>
        <v>Poznań</v>
      </c>
      <c r="G57" s="6">
        <f>Raw_Data[[#This Row],[Ilość (Quant.)]]</f>
        <v>4</v>
      </c>
      <c r="H57" s="7">
        <f>Raw_Data[[#This Row],[Przychód brutto (Revenue)]]</f>
        <v>42.36</v>
      </c>
      <c r="I5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24.9712</v>
      </c>
      <c r="J57" s="23">
        <f>Processed_data[[#This Row],[Zysk brutto
(Gross profit)]]/Processed_data[[#This Row],[Przychód brutto (Revenue)]]</f>
        <v>0.58949952785646842</v>
      </c>
      <c r="K57" t="str">
        <f>IF(Processed_data[[#This Row],[Marża (Margin)]]&gt;0.6,"wysoka",IF(Processed_data[[#This Row],[Marża (Margin)]]&gt;0.3,"średnia","niska"))</f>
        <v>średnia</v>
      </c>
      <c r="L57">
        <f>MONTH(Raw_Data[[#This Row],[Data zamów. (Order date)]])</f>
        <v>7</v>
      </c>
      <c r="M57" t="str">
        <f>TEXT(Raw_Data[[#This Row],[Data zamów. (Order date)]], "MMMM")</f>
        <v>lipiec</v>
      </c>
      <c r="N57">
        <f>IF(Processed_data[[#This Row],[Miesiąc (Month)]]&lt;=3,1,IF(Processed_data[[#This Row],[Miesiąc (Month)]]&lt;=6,2,IF(Processed_data[[#This Row],[Miesiąc (Month)]]&lt;=9,3,4)))</f>
        <v>3</v>
      </c>
    </row>
    <row r="58" spans="1:14" x14ac:dyDescent="0.25">
      <c r="A58" s="6" t="str">
        <f>Raw_Data[[#This Row],[ID zamów. (Order ID)]]</f>
        <v>ORD0057</v>
      </c>
      <c r="B58" s="6" t="str">
        <f>Raw_Data[[#This Row],[ID klienta (Client ID)]]</f>
        <v>CUST7265</v>
      </c>
      <c r="C58" s="6" t="str">
        <f>_xlfn.XLOOKUP(Raw_Data[[#This Row],[Produkt (Product)]],'Product lookup table'!$A$2:$A$20,'Product lookup table'!$B$2:$B$20)</f>
        <v>Home</v>
      </c>
      <c r="D58" s="6" t="str">
        <f>Raw_Data[[#This Row],[Produkt (Product)]]</f>
        <v>Poduszka dekoracyjna</v>
      </c>
      <c r="E58" s="6" t="str">
        <f>Raw_Data[[#This Row],[Kanał sprzedaży (Marketplace)]]</f>
        <v>Empik Marketplace</v>
      </c>
      <c r="F58" s="6" t="str">
        <f>Raw_Data[[#This Row],[Miasto (City)]]</f>
        <v>Wrocław</v>
      </c>
      <c r="G58" s="6">
        <f>Raw_Data[[#This Row],[Ilość (Quant.)]]</f>
        <v>1</v>
      </c>
      <c r="H58" s="7">
        <f>Raw_Data[[#This Row],[Przychód brutto (Revenue)]]</f>
        <v>72.359772727272727</v>
      </c>
      <c r="I5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35.123795454545451</v>
      </c>
      <c r="J58" s="23">
        <f>Processed_data[[#This Row],[Zysk brutto
(Gross profit)]]/Processed_data[[#This Row],[Przychód brutto (Revenue)]]</f>
        <v>0.48540499963879979</v>
      </c>
      <c r="K58" t="str">
        <f>IF(Processed_data[[#This Row],[Marża (Margin)]]&gt;0.6,"wysoka",IF(Processed_data[[#This Row],[Marża (Margin)]]&gt;0.3,"średnia","niska"))</f>
        <v>średnia</v>
      </c>
      <c r="L58">
        <f>MONTH(Raw_Data[[#This Row],[Data zamów. (Order date)]])</f>
        <v>6</v>
      </c>
      <c r="M58" t="str">
        <f>TEXT(Raw_Data[[#This Row],[Data zamów. (Order date)]], "MMMM")</f>
        <v>czerwiec</v>
      </c>
      <c r="N58">
        <f>IF(Processed_data[[#This Row],[Miesiąc (Month)]]&lt;=3,1,IF(Processed_data[[#This Row],[Miesiąc (Month)]]&lt;=6,2,IF(Processed_data[[#This Row],[Miesiąc (Month)]]&lt;=9,3,4)))</f>
        <v>2</v>
      </c>
    </row>
    <row r="59" spans="1:14" x14ac:dyDescent="0.25">
      <c r="A59" s="6" t="str">
        <f>Raw_Data[[#This Row],[ID zamów. (Order ID)]]</f>
        <v>ORD0058</v>
      </c>
      <c r="B59" s="6" t="str">
        <f>Raw_Data[[#This Row],[ID klienta (Client ID)]]</f>
        <v>CUST5339</v>
      </c>
      <c r="C59" s="6" t="str">
        <f>_xlfn.XLOOKUP(Raw_Data[[#This Row],[Produkt (Product)]],'Product lookup table'!$A$2:$A$20,'Product lookup table'!$B$2:$B$20)</f>
        <v>Kosmetyki</v>
      </c>
      <c r="D59" s="6" t="str">
        <f>Raw_Data[[#This Row],[Produkt (Product)]]</f>
        <v>Krem do twarzy</v>
      </c>
      <c r="E59" s="6" t="str">
        <f>Raw_Data[[#This Row],[Kanał sprzedaży (Marketplace)]]</f>
        <v>Shopify</v>
      </c>
      <c r="F59" s="6" t="str">
        <f>Raw_Data[[#This Row],[Miasto (City)]]</f>
        <v>Poznań</v>
      </c>
      <c r="G59" s="6">
        <f>Raw_Data[[#This Row],[Ilość (Quant.)]]</f>
        <v>5</v>
      </c>
      <c r="H59" s="7">
        <f>Raw_Data[[#This Row],[Przychód brutto (Revenue)]]</f>
        <v>308.25555555555559</v>
      </c>
      <c r="I5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183.25555555555559</v>
      </c>
      <c r="J59" s="23">
        <f>Processed_data[[#This Row],[Zysk brutto
(Gross profit)]]/Processed_data[[#This Row],[Przychód brutto (Revenue)]]</f>
        <v>0.59449230436506506</v>
      </c>
      <c r="K59" t="str">
        <f>IF(Processed_data[[#This Row],[Marża (Margin)]]&gt;0.6,"wysoka",IF(Processed_data[[#This Row],[Marża (Margin)]]&gt;0.3,"średnia","niska"))</f>
        <v>średnia</v>
      </c>
      <c r="L59">
        <f>MONTH(Raw_Data[[#This Row],[Data zamów. (Order date)]])</f>
        <v>8</v>
      </c>
      <c r="M59" t="str">
        <f>TEXT(Raw_Data[[#This Row],[Data zamów. (Order date)]], "MMMM")</f>
        <v>sierpień</v>
      </c>
      <c r="N59">
        <f>IF(Processed_data[[#This Row],[Miesiąc (Month)]]&lt;=3,1,IF(Processed_data[[#This Row],[Miesiąc (Month)]]&lt;=6,2,IF(Processed_data[[#This Row],[Miesiąc (Month)]]&lt;=9,3,4)))</f>
        <v>3</v>
      </c>
    </row>
    <row r="60" spans="1:14" x14ac:dyDescent="0.25">
      <c r="A60" s="6" t="str">
        <f>Raw_Data[[#This Row],[ID zamów. (Order ID)]]</f>
        <v>ORD0059</v>
      </c>
      <c r="B60" s="6" t="str">
        <f>Raw_Data[[#This Row],[ID klienta (Client ID)]]</f>
        <v>CUST6342</v>
      </c>
      <c r="C60" s="6" t="str">
        <f>_xlfn.XLOOKUP(Raw_Data[[#This Row],[Produkt (Product)]],'Product lookup table'!$A$2:$A$20,'Product lookup table'!$B$2:$B$20)</f>
        <v>Home</v>
      </c>
      <c r="D60" s="6" t="str">
        <f>Raw_Data[[#This Row],[Produkt (Product)]]</f>
        <v>Świeca zapachowa</v>
      </c>
      <c r="E60" s="6" t="str">
        <f>Raw_Data[[#This Row],[Kanał sprzedaży (Marketplace)]]</f>
        <v>Shopify</v>
      </c>
      <c r="F60" s="6" t="str">
        <f>Raw_Data[[#This Row],[Miasto (City)]]</f>
        <v>Warszawa</v>
      </c>
      <c r="G60" s="6">
        <f>Raw_Data[[#This Row],[Ilość (Quant.)]]</f>
        <v>3</v>
      </c>
      <c r="H60" s="7">
        <f>Raw_Data[[#This Row],[Przychód brutto (Revenue)]]</f>
        <v>115.59545454545457</v>
      </c>
      <c r="I6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55.595454545454572</v>
      </c>
      <c r="J60" s="23">
        <f>Processed_data[[#This Row],[Zysk brutto
(Gross profit)]]/Processed_data[[#This Row],[Przychód brutto (Revenue)]]</f>
        <v>0.48094844874365944</v>
      </c>
      <c r="K60" t="str">
        <f>IF(Processed_data[[#This Row],[Marża (Margin)]]&gt;0.6,"wysoka",IF(Processed_data[[#This Row],[Marża (Margin)]]&gt;0.3,"średnia","niska"))</f>
        <v>średnia</v>
      </c>
      <c r="L60">
        <f>MONTH(Raw_Data[[#This Row],[Data zamów. (Order date)]])</f>
        <v>7</v>
      </c>
      <c r="M60" t="str">
        <f>TEXT(Raw_Data[[#This Row],[Data zamów. (Order date)]], "MMMM")</f>
        <v>lipiec</v>
      </c>
      <c r="N60">
        <f>IF(Processed_data[[#This Row],[Miesiąc (Month)]]&lt;=3,1,IF(Processed_data[[#This Row],[Miesiąc (Month)]]&lt;=6,2,IF(Processed_data[[#This Row],[Miesiąc (Month)]]&lt;=9,3,4)))</f>
        <v>3</v>
      </c>
    </row>
    <row r="61" spans="1:14" x14ac:dyDescent="0.25">
      <c r="A61" s="6" t="str">
        <f>Raw_Data[[#This Row],[ID zamów. (Order ID)]]</f>
        <v>ORD0060</v>
      </c>
      <c r="B61" s="6" t="str">
        <f>Raw_Data[[#This Row],[ID klienta (Client ID)]]</f>
        <v>CUST2395</v>
      </c>
      <c r="C61" s="6" t="str">
        <f>_xlfn.XLOOKUP(Raw_Data[[#This Row],[Produkt (Product)]],'Product lookup table'!$A$2:$A$20,'Product lookup table'!$B$2:$B$20)</f>
        <v>Outdoor</v>
      </c>
      <c r="D61" s="6" t="str">
        <f>Raw_Data[[#This Row],[Produkt (Product)]]</f>
        <v>Bidon</v>
      </c>
      <c r="E61" s="6" t="str">
        <f>Raw_Data[[#This Row],[Kanał sprzedaży (Marketplace)]]</f>
        <v>Shopify</v>
      </c>
      <c r="F61" s="6" t="str">
        <f>Raw_Data[[#This Row],[Miasto (City)]]</f>
        <v>Warszawa</v>
      </c>
      <c r="G61" s="6">
        <f>Raw_Data[[#This Row],[Ilość (Quant.)]]</f>
        <v>2</v>
      </c>
      <c r="H61" s="7">
        <f>Raw_Data[[#This Row],[Przychód brutto (Revenue)]]</f>
        <v>52.366714285714281</v>
      </c>
      <c r="I6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22.366714285714281</v>
      </c>
      <c r="J61" s="23">
        <f>Processed_data[[#This Row],[Zysk brutto
(Gross profit)]]/Processed_data[[#This Row],[Przychód brutto (Revenue)]]</f>
        <v>0.42711700725924584</v>
      </c>
      <c r="K61" t="str">
        <f>IF(Processed_data[[#This Row],[Marża (Margin)]]&gt;0.6,"wysoka",IF(Processed_data[[#This Row],[Marża (Margin)]]&gt;0.3,"średnia","niska"))</f>
        <v>średnia</v>
      </c>
      <c r="L61">
        <f>MONTH(Raw_Data[[#This Row],[Data zamów. (Order date)]])</f>
        <v>3</v>
      </c>
      <c r="M61" t="str">
        <f>TEXT(Raw_Data[[#This Row],[Data zamów. (Order date)]], "MMMM")</f>
        <v>marzec</v>
      </c>
      <c r="N61">
        <f>IF(Processed_data[[#This Row],[Miesiąc (Month)]]&lt;=3,1,IF(Processed_data[[#This Row],[Miesiąc (Month)]]&lt;=6,2,IF(Processed_data[[#This Row],[Miesiąc (Month)]]&lt;=9,3,4)))</f>
        <v>1</v>
      </c>
    </row>
    <row r="62" spans="1:14" x14ac:dyDescent="0.25">
      <c r="A62" s="6" t="str">
        <f>Raw_Data[[#This Row],[ID zamów. (Order ID)]]</f>
        <v>ORD0061</v>
      </c>
      <c r="B62" s="6" t="str">
        <f>Raw_Data[[#This Row],[ID klienta (Client ID)]]</f>
        <v>CUST6916</v>
      </c>
      <c r="C62" s="6" t="str">
        <f>_xlfn.XLOOKUP(Raw_Data[[#This Row],[Produkt (Product)]],'Product lookup table'!$A$2:$A$20,'Product lookup table'!$B$2:$B$20)</f>
        <v>Outdoor</v>
      </c>
      <c r="D62" s="6" t="str">
        <f>Raw_Data[[#This Row],[Produkt (Product)]]</f>
        <v>Buty trekkingowe</v>
      </c>
      <c r="E62" s="6" t="str">
        <f>Raw_Data[[#This Row],[Kanał sprzedaży (Marketplace)]]</f>
        <v>Amazon</v>
      </c>
      <c r="F62" s="6" t="str">
        <f>Raw_Data[[#This Row],[Miasto (City)]]</f>
        <v>Wrocław</v>
      </c>
      <c r="G62" s="6">
        <f>Raw_Data[[#This Row],[Ilość (Quant.)]]</f>
        <v>1</v>
      </c>
      <c r="H62" s="7">
        <f>Raw_Data[[#This Row],[Przychód brutto (Revenue)]]</f>
        <v>500.77857142857135</v>
      </c>
      <c r="I6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130.68514285714281</v>
      </c>
      <c r="J62" s="23">
        <f>Processed_data[[#This Row],[Zysk brutto
(Gross profit)]]/Processed_data[[#This Row],[Przychód brutto (Revenue)]]</f>
        <v>0.26096392759845377</v>
      </c>
      <c r="K62" t="str">
        <f>IF(Processed_data[[#This Row],[Marża (Margin)]]&gt;0.6,"wysoka",IF(Processed_data[[#This Row],[Marża (Margin)]]&gt;0.3,"średnia","niska"))</f>
        <v>niska</v>
      </c>
      <c r="L62">
        <f>MONTH(Raw_Data[[#This Row],[Data zamów. (Order date)]])</f>
        <v>9</v>
      </c>
      <c r="M62" t="str">
        <f>TEXT(Raw_Data[[#This Row],[Data zamów. (Order date)]], "MMMM")</f>
        <v>wrzesień</v>
      </c>
      <c r="N62">
        <f>IF(Processed_data[[#This Row],[Miesiąc (Month)]]&lt;=3,1,IF(Processed_data[[#This Row],[Miesiąc (Month)]]&lt;=6,2,IF(Processed_data[[#This Row],[Miesiąc (Month)]]&lt;=9,3,4)))</f>
        <v>3</v>
      </c>
    </row>
    <row r="63" spans="1:14" x14ac:dyDescent="0.25">
      <c r="A63" s="6" t="str">
        <f>Raw_Data[[#This Row],[ID zamów. (Order ID)]]</f>
        <v>ORD0062</v>
      </c>
      <c r="B63" s="6" t="str">
        <f>Raw_Data[[#This Row],[ID klienta (Client ID)]]</f>
        <v>CUST4545</v>
      </c>
      <c r="C63" s="6" t="str">
        <f>_xlfn.XLOOKUP(Raw_Data[[#This Row],[Produkt (Product)]],'Product lookup table'!$A$2:$A$20,'Product lookup table'!$B$2:$B$20)</f>
        <v>Kosmetyki</v>
      </c>
      <c r="D63" s="6" t="str">
        <f>Raw_Data[[#This Row],[Produkt (Product)]]</f>
        <v>Serum</v>
      </c>
      <c r="E63" s="6" t="str">
        <f>Raw_Data[[#This Row],[Kanał sprzedaży (Marketplace)]]</f>
        <v>Empik Marketplace</v>
      </c>
      <c r="F63" s="6" t="str">
        <f>Raw_Data[[#This Row],[Miasto (City)]]</f>
        <v>Kraków</v>
      </c>
      <c r="G63" s="6">
        <f>Raw_Data[[#This Row],[Ilość (Quant.)]]</f>
        <v>2</v>
      </c>
      <c r="H63" s="7">
        <f>Raw_Data[[#This Row],[Przychód brutto (Revenue)]]</f>
        <v>156.64666666666665</v>
      </c>
      <c r="I6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80.981999999999985</v>
      </c>
      <c r="J63" s="23">
        <f>Processed_data[[#This Row],[Zysk brutto
(Gross profit)]]/Processed_data[[#This Row],[Przychód brutto (Revenue)]]</f>
        <v>0.51697237945269603</v>
      </c>
      <c r="K63" t="str">
        <f>IF(Processed_data[[#This Row],[Marża (Margin)]]&gt;0.6,"wysoka",IF(Processed_data[[#This Row],[Marża (Margin)]]&gt;0.3,"średnia","niska"))</f>
        <v>średnia</v>
      </c>
      <c r="L63">
        <f>MONTH(Raw_Data[[#This Row],[Data zamów. (Order date)]])</f>
        <v>3</v>
      </c>
      <c r="M63" t="str">
        <f>TEXT(Raw_Data[[#This Row],[Data zamów. (Order date)]], "MMMM")</f>
        <v>marzec</v>
      </c>
      <c r="N63">
        <f>IF(Processed_data[[#This Row],[Miesiąc (Month)]]&lt;=3,1,IF(Processed_data[[#This Row],[Miesiąc (Month)]]&lt;=6,2,IF(Processed_data[[#This Row],[Miesiąc (Month)]]&lt;=9,3,4)))</f>
        <v>1</v>
      </c>
    </row>
    <row r="64" spans="1:14" x14ac:dyDescent="0.25">
      <c r="A64" s="6" t="str">
        <f>Raw_Data[[#This Row],[ID zamów. (Order ID)]]</f>
        <v>ORD0063</v>
      </c>
      <c r="B64" s="6" t="str">
        <f>Raw_Data[[#This Row],[ID klienta (Client ID)]]</f>
        <v>CUST1668</v>
      </c>
      <c r="C64" s="6" t="str">
        <f>_xlfn.XLOOKUP(Raw_Data[[#This Row],[Produkt (Product)]],'Product lookup table'!$A$2:$A$20,'Product lookup table'!$B$2:$B$20)</f>
        <v>Kosmetyki</v>
      </c>
      <c r="D64" s="6" t="str">
        <f>Raw_Data[[#This Row],[Produkt (Product)]]</f>
        <v>Paleta cieni</v>
      </c>
      <c r="E64" s="6" t="str">
        <f>Raw_Data[[#This Row],[Kanał sprzedaży (Marketplace)]]</f>
        <v>Empik Marketplace</v>
      </c>
      <c r="F64" s="6" t="str">
        <f>Raw_Data[[#This Row],[Miasto (City)]]</f>
        <v>Kraków</v>
      </c>
      <c r="G64" s="6">
        <f>Raw_Data[[#This Row],[Ilość (Quant.)]]</f>
        <v>3</v>
      </c>
      <c r="H64" s="7">
        <f>Raw_Data[[#This Row],[Przychód brutto (Revenue)]]</f>
        <v>272.14499999999992</v>
      </c>
      <c r="I6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124.93049999999994</v>
      </c>
      <c r="J64" s="23">
        <f>Processed_data[[#This Row],[Zysk brutto
(Gross profit)]]/Processed_data[[#This Row],[Przychód brutto (Revenue)]]</f>
        <v>0.45905859008984173</v>
      </c>
      <c r="K64" t="str">
        <f>IF(Processed_data[[#This Row],[Marża (Margin)]]&gt;0.6,"wysoka",IF(Processed_data[[#This Row],[Marża (Margin)]]&gt;0.3,"średnia","niska"))</f>
        <v>średnia</v>
      </c>
      <c r="L64">
        <f>MONTH(Raw_Data[[#This Row],[Data zamów. (Order date)]])</f>
        <v>8</v>
      </c>
      <c r="M64" t="str">
        <f>TEXT(Raw_Data[[#This Row],[Data zamów. (Order date)]], "MMMM")</f>
        <v>sierpień</v>
      </c>
      <c r="N64">
        <f>IF(Processed_data[[#This Row],[Miesiąc (Month)]]&lt;=3,1,IF(Processed_data[[#This Row],[Miesiąc (Month)]]&lt;=6,2,IF(Processed_data[[#This Row],[Miesiąc (Month)]]&lt;=9,3,4)))</f>
        <v>3</v>
      </c>
    </row>
    <row r="65" spans="1:14" x14ac:dyDescent="0.25">
      <c r="A65" s="6" t="str">
        <f>Raw_Data[[#This Row],[ID zamów. (Order ID)]]</f>
        <v>ORD0064</v>
      </c>
      <c r="B65" s="6" t="str">
        <f>Raw_Data[[#This Row],[ID klienta (Client ID)]]</f>
        <v>CUST1668</v>
      </c>
      <c r="C65" s="6" t="str">
        <f>_xlfn.XLOOKUP(Raw_Data[[#This Row],[Produkt (Product)]],'Product lookup table'!$A$2:$A$20,'Product lookup table'!$B$2:$B$20)</f>
        <v>Elektronika</v>
      </c>
      <c r="D65" s="6" t="str">
        <f>Raw_Data[[#This Row],[Produkt (Product)]]</f>
        <v>Głośnik</v>
      </c>
      <c r="E65" s="6" t="str">
        <f>Raw_Data[[#This Row],[Kanał sprzedaży (Marketplace)]]</f>
        <v>Amazon</v>
      </c>
      <c r="F65" s="6" t="str">
        <f>Raw_Data[[#This Row],[Miasto (City)]]</f>
        <v>Kraków</v>
      </c>
      <c r="G65" s="6">
        <f>Raw_Data[[#This Row],[Ilość (Quant.)]]</f>
        <v>2</v>
      </c>
      <c r="H65" s="7">
        <f>Raw_Data[[#This Row],[Przychód brutto (Revenue)]]</f>
        <v>368.47130434782611</v>
      </c>
      <c r="I6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64.25474782608697</v>
      </c>
      <c r="J65" s="23">
        <f>Processed_data[[#This Row],[Zysk brutto
(Gross profit)]]/Processed_data[[#This Row],[Przychód brutto (Revenue)]]</f>
        <v>0.17438195883344113</v>
      </c>
      <c r="K65" t="str">
        <f>IF(Processed_data[[#This Row],[Marża (Margin)]]&gt;0.6,"wysoka",IF(Processed_data[[#This Row],[Marża (Margin)]]&gt;0.3,"średnia","niska"))</f>
        <v>niska</v>
      </c>
      <c r="L65">
        <f>MONTH(Raw_Data[[#This Row],[Data zamów. (Order date)]])</f>
        <v>3</v>
      </c>
      <c r="M65" t="str">
        <f>TEXT(Raw_Data[[#This Row],[Data zamów. (Order date)]], "MMMM")</f>
        <v>marzec</v>
      </c>
      <c r="N65">
        <f>IF(Processed_data[[#This Row],[Miesiąc (Month)]]&lt;=3,1,IF(Processed_data[[#This Row],[Miesiąc (Month)]]&lt;=6,2,IF(Processed_data[[#This Row],[Miesiąc (Month)]]&lt;=9,3,4)))</f>
        <v>1</v>
      </c>
    </row>
    <row r="66" spans="1:14" x14ac:dyDescent="0.25">
      <c r="A66" s="6" t="str">
        <f>Raw_Data[[#This Row],[ID zamów. (Order ID)]]</f>
        <v>ORD0065</v>
      </c>
      <c r="B66" s="6" t="str">
        <f>Raw_Data[[#This Row],[ID klienta (Client ID)]]</f>
        <v>CUST1668</v>
      </c>
      <c r="C66" s="6" t="str">
        <f>_xlfn.XLOOKUP(Raw_Data[[#This Row],[Produkt (Product)]],'Product lookup table'!$A$2:$A$20,'Product lookup table'!$B$2:$B$20)</f>
        <v>Elektronika</v>
      </c>
      <c r="D66" s="6" t="str">
        <f>Raw_Data[[#This Row],[Produkt (Product)]]</f>
        <v>Klawiatura</v>
      </c>
      <c r="E66" s="6" t="str">
        <f>Raw_Data[[#This Row],[Kanał sprzedaży (Marketplace)]]</f>
        <v>Allegro</v>
      </c>
      <c r="F66" s="6" t="str">
        <f>Raw_Data[[#This Row],[Miasto (City)]]</f>
        <v>Kraków</v>
      </c>
      <c r="G66" s="6">
        <f>Raw_Data[[#This Row],[Ilość (Quant.)]]</f>
        <v>4</v>
      </c>
      <c r="H66" s="7">
        <f>Raw_Data[[#This Row],[Przychód brutto (Revenue)]]</f>
        <v>472.17669565217392</v>
      </c>
      <c r="I6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-5.5974399999999989</v>
      </c>
      <c r="J66" s="23">
        <f>Processed_data[[#This Row],[Zysk brutto
(Gross profit)]]/Processed_data[[#This Row],[Przychód brutto (Revenue)]]</f>
        <v>-1.1854545240249042E-2</v>
      </c>
      <c r="K66" t="str">
        <f>IF(Processed_data[[#This Row],[Marża (Margin)]]&gt;0.6,"wysoka",IF(Processed_data[[#This Row],[Marża (Margin)]]&gt;0.3,"średnia","niska"))</f>
        <v>niska</v>
      </c>
      <c r="L66">
        <f>MONTH(Raw_Data[[#This Row],[Data zamów. (Order date)]])</f>
        <v>10</v>
      </c>
      <c r="M66" t="str">
        <f>TEXT(Raw_Data[[#This Row],[Data zamów. (Order date)]], "MMMM")</f>
        <v>październik</v>
      </c>
      <c r="N66">
        <f>IF(Processed_data[[#This Row],[Miesiąc (Month)]]&lt;=3,1,IF(Processed_data[[#This Row],[Miesiąc (Month)]]&lt;=6,2,IF(Processed_data[[#This Row],[Miesiąc (Month)]]&lt;=9,3,4)))</f>
        <v>4</v>
      </c>
    </row>
    <row r="67" spans="1:14" x14ac:dyDescent="0.25">
      <c r="A67" s="6" t="str">
        <f>Raw_Data[[#This Row],[ID zamów. (Order ID)]]</f>
        <v>ORD0066</v>
      </c>
      <c r="B67" s="6" t="str">
        <f>Raw_Data[[#This Row],[ID klienta (Client ID)]]</f>
        <v>CUST1668</v>
      </c>
      <c r="C67" s="6" t="str">
        <f>_xlfn.XLOOKUP(Raw_Data[[#This Row],[Produkt (Product)]],'Product lookup table'!$A$2:$A$20,'Product lookup table'!$B$2:$B$20)</f>
        <v>Kosmetyki</v>
      </c>
      <c r="D67" s="6" t="str">
        <f>Raw_Data[[#This Row],[Produkt (Product)]]</f>
        <v>Olejek</v>
      </c>
      <c r="E67" s="6" t="str">
        <f>Raw_Data[[#This Row],[Kanał sprzedaży (Marketplace)]]</f>
        <v>Shopify</v>
      </c>
      <c r="F67" s="6" t="str">
        <f>Raw_Data[[#This Row],[Miasto (City)]]</f>
        <v>Kraków</v>
      </c>
      <c r="G67" s="6">
        <f>Raw_Data[[#This Row],[Ilość (Quant.)]]</f>
        <v>4</v>
      </c>
      <c r="H67" s="7">
        <f>Raw_Data[[#This Row],[Przychód brutto (Revenue)]]</f>
        <v>61.071111111111115</v>
      </c>
      <c r="I6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41.071111111111115</v>
      </c>
      <c r="J67" s="23">
        <f>Processed_data[[#This Row],[Zysk brutto
(Gross profit)]]/Processed_data[[#This Row],[Przychód brutto (Revenue)]]</f>
        <v>0.67251291754603015</v>
      </c>
      <c r="K67" t="str">
        <f>IF(Processed_data[[#This Row],[Marża (Margin)]]&gt;0.6,"wysoka",IF(Processed_data[[#This Row],[Marża (Margin)]]&gt;0.3,"średnia","niska"))</f>
        <v>wysoka</v>
      </c>
      <c r="L67">
        <f>MONTH(Raw_Data[[#This Row],[Data zamów. (Order date)]])</f>
        <v>10</v>
      </c>
      <c r="M67" t="str">
        <f>TEXT(Raw_Data[[#This Row],[Data zamów. (Order date)]], "MMMM")</f>
        <v>październik</v>
      </c>
      <c r="N67">
        <f>IF(Processed_data[[#This Row],[Miesiąc (Month)]]&lt;=3,1,IF(Processed_data[[#This Row],[Miesiąc (Month)]]&lt;=6,2,IF(Processed_data[[#This Row],[Miesiąc (Month)]]&lt;=9,3,4)))</f>
        <v>4</v>
      </c>
    </row>
    <row r="68" spans="1:14" x14ac:dyDescent="0.25">
      <c r="A68" s="6" t="str">
        <f>Raw_Data[[#This Row],[ID zamów. (Order ID)]]</f>
        <v>ORD0067</v>
      </c>
      <c r="B68" s="6" t="str">
        <f>Raw_Data[[#This Row],[ID klienta (Client ID)]]</f>
        <v>CUST1668</v>
      </c>
      <c r="C68" s="6" t="str">
        <f>_xlfn.XLOOKUP(Raw_Data[[#This Row],[Produkt (Product)]],'Product lookup table'!$A$2:$A$20,'Product lookup table'!$B$2:$B$20)</f>
        <v>Kosmetyki</v>
      </c>
      <c r="D68" s="6" t="str">
        <f>Raw_Data[[#This Row],[Produkt (Product)]]</f>
        <v>Żel pod prysznic</v>
      </c>
      <c r="E68" s="6" t="str">
        <f>Raw_Data[[#This Row],[Kanał sprzedaży (Marketplace)]]</f>
        <v>Allegro</v>
      </c>
      <c r="F68" s="6" t="str">
        <f>Raw_Data[[#This Row],[Miasto (City)]]</f>
        <v>Kraków</v>
      </c>
      <c r="G68" s="6">
        <f>Raw_Data[[#This Row],[Ilość (Quant.)]]</f>
        <v>1</v>
      </c>
      <c r="H68" s="7">
        <f>Raw_Data[[#This Row],[Przychód brutto (Revenue)]]</f>
        <v>7.2685555555555554</v>
      </c>
      <c r="I6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4.187071111111111</v>
      </c>
      <c r="J68" s="23">
        <f>Processed_data[[#This Row],[Zysk brutto
(Gross profit)]]/Processed_data[[#This Row],[Przychód brutto (Revenue)]]</f>
        <v>0.57605270801167896</v>
      </c>
      <c r="K68" t="str">
        <f>IF(Processed_data[[#This Row],[Marża (Margin)]]&gt;0.6,"wysoka",IF(Processed_data[[#This Row],[Marża (Margin)]]&gt;0.3,"średnia","niska"))</f>
        <v>średnia</v>
      </c>
      <c r="L68">
        <f>MONTH(Raw_Data[[#This Row],[Data zamów. (Order date)]])</f>
        <v>11</v>
      </c>
      <c r="M68" t="str">
        <f>TEXT(Raw_Data[[#This Row],[Data zamów. (Order date)]], "MMMM")</f>
        <v>listopad</v>
      </c>
      <c r="N68">
        <f>IF(Processed_data[[#This Row],[Miesiąc (Month)]]&lt;=3,1,IF(Processed_data[[#This Row],[Miesiąc (Month)]]&lt;=6,2,IF(Processed_data[[#This Row],[Miesiąc (Month)]]&lt;=9,3,4)))</f>
        <v>4</v>
      </c>
    </row>
    <row r="69" spans="1:14" x14ac:dyDescent="0.25">
      <c r="A69" s="6" t="str">
        <f>Raw_Data[[#This Row],[ID zamów. (Order ID)]]</f>
        <v>ORD0068</v>
      </c>
      <c r="B69" s="6" t="str">
        <f>Raw_Data[[#This Row],[ID klienta (Client ID)]]</f>
        <v>CUST9351</v>
      </c>
      <c r="C69" s="6" t="str">
        <f>_xlfn.XLOOKUP(Raw_Data[[#This Row],[Produkt (Product)]],'Product lookup table'!$A$2:$A$20,'Product lookup table'!$B$2:$B$20)</f>
        <v>Outdoor</v>
      </c>
      <c r="D69" s="6" t="str">
        <f>Raw_Data[[#This Row],[Produkt (Product)]]</f>
        <v>Śpiwór</v>
      </c>
      <c r="E69" s="6" t="str">
        <f>Raw_Data[[#This Row],[Kanał sprzedaży (Marketplace)]]</f>
        <v>Empik Marketplace</v>
      </c>
      <c r="F69" s="6" t="str">
        <f>Raw_Data[[#This Row],[Miasto (City)]]</f>
        <v>Wrocław</v>
      </c>
      <c r="G69" s="6">
        <f>Raw_Data[[#This Row],[Ilość (Quant.)]]</f>
        <v>1</v>
      </c>
      <c r="H69" s="7">
        <f>Raw_Data[[#This Row],[Przychód brutto (Revenue)]]</f>
        <v>529.41857142857145</v>
      </c>
      <c r="I6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206.47671428571431</v>
      </c>
      <c r="J69" s="23">
        <f>Processed_data[[#This Row],[Zysk brutto
(Gross profit)]]/Processed_data[[#This Row],[Przychód brutto (Revenue)]]</f>
        <v>0.39000655705855214</v>
      </c>
      <c r="K69" t="str">
        <f>IF(Processed_data[[#This Row],[Marża (Margin)]]&gt;0.6,"wysoka",IF(Processed_data[[#This Row],[Marża (Margin)]]&gt;0.3,"średnia","niska"))</f>
        <v>średnia</v>
      </c>
      <c r="L69">
        <f>MONTH(Raw_Data[[#This Row],[Data zamów. (Order date)]])</f>
        <v>7</v>
      </c>
      <c r="M69" t="str">
        <f>TEXT(Raw_Data[[#This Row],[Data zamów. (Order date)]], "MMMM")</f>
        <v>lipiec</v>
      </c>
      <c r="N69">
        <f>IF(Processed_data[[#This Row],[Miesiąc (Month)]]&lt;=3,1,IF(Processed_data[[#This Row],[Miesiąc (Month)]]&lt;=6,2,IF(Processed_data[[#This Row],[Miesiąc (Month)]]&lt;=9,3,4)))</f>
        <v>3</v>
      </c>
    </row>
    <row r="70" spans="1:14" x14ac:dyDescent="0.25">
      <c r="A70" s="6" t="str">
        <f>Raw_Data[[#This Row],[ID zamów. (Order ID)]]</f>
        <v>ORD0069</v>
      </c>
      <c r="B70" s="6" t="str">
        <f>Raw_Data[[#This Row],[ID klienta (Client ID)]]</f>
        <v>CUST2161</v>
      </c>
      <c r="C70" s="6" t="str">
        <f>_xlfn.XLOOKUP(Raw_Data[[#This Row],[Produkt (Product)]],'Product lookup table'!$A$2:$A$20,'Product lookup table'!$B$2:$B$20)</f>
        <v>Kosmetyki</v>
      </c>
      <c r="D70" s="6" t="str">
        <f>Raw_Data[[#This Row],[Produkt (Product)]]</f>
        <v>Szampon</v>
      </c>
      <c r="E70" s="6" t="str">
        <f>Raw_Data[[#This Row],[Kanał sprzedaży (Marketplace)]]</f>
        <v>Allegro</v>
      </c>
      <c r="F70" s="6" t="str">
        <f>Raw_Data[[#This Row],[Miasto (City)]]</f>
        <v>Warszawa</v>
      </c>
      <c r="G70" s="6">
        <f>Raw_Data[[#This Row],[Ilość (Quant.)]]</f>
        <v>2</v>
      </c>
      <c r="H70" s="7">
        <f>Raw_Data[[#This Row],[Przychód brutto (Revenue)]]</f>
        <v>19.325222222222223</v>
      </c>
      <c r="I7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10.779204444444446</v>
      </c>
      <c r="J70" s="23">
        <f>Processed_data[[#This Row],[Zysk brutto
(Gross profit)]]/Processed_data[[#This Row],[Przychód brutto (Revenue)]]</f>
        <v>0.55777906822977463</v>
      </c>
      <c r="K70" t="str">
        <f>IF(Processed_data[[#This Row],[Marża (Margin)]]&gt;0.6,"wysoka",IF(Processed_data[[#This Row],[Marża (Margin)]]&gt;0.3,"średnia","niska"))</f>
        <v>średnia</v>
      </c>
      <c r="L70">
        <f>MONTH(Raw_Data[[#This Row],[Data zamów. (Order date)]])</f>
        <v>11</v>
      </c>
      <c r="M70" t="str">
        <f>TEXT(Raw_Data[[#This Row],[Data zamów. (Order date)]], "MMMM")</f>
        <v>listopad</v>
      </c>
      <c r="N70">
        <f>IF(Processed_data[[#This Row],[Miesiąc (Month)]]&lt;=3,1,IF(Processed_data[[#This Row],[Miesiąc (Month)]]&lt;=6,2,IF(Processed_data[[#This Row],[Miesiąc (Month)]]&lt;=9,3,4)))</f>
        <v>4</v>
      </c>
    </row>
    <row r="71" spans="1:14" x14ac:dyDescent="0.25">
      <c r="A71" s="6" t="str">
        <f>Raw_Data[[#This Row],[ID zamów. (Order ID)]]</f>
        <v>ORD0070</v>
      </c>
      <c r="B71" s="6" t="str">
        <f>Raw_Data[[#This Row],[ID klienta (Client ID)]]</f>
        <v>CUST9917</v>
      </c>
      <c r="C71" s="6" t="str">
        <f>_xlfn.XLOOKUP(Raw_Data[[#This Row],[Produkt (Product)]],'Product lookup table'!$A$2:$A$20,'Product lookup table'!$B$2:$B$20)</f>
        <v>Outdoor</v>
      </c>
      <c r="D71" s="6" t="str">
        <f>Raw_Data[[#This Row],[Produkt (Product)]]</f>
        <v>Namiot</v>
      </c>
      <c r="E71" s="6" t="str">
        <f>Raw_Data[[#This Row],[Kanał sprzedaży (Marketplace)]]</f>
        <v>Empik Marketplace</v>
      </c>
      <c r="F71" s="6" t="str">
        <f>Raw_Data[[#This Row],[Miasto (City)]]</f>
        <v>Poznań</v>
      </c>
      <c r="G71" s="6">
        <f>Raw_Data[[#This Row],[Ilość (Quant.)]]</f>
        <v>4</v>
      </c>
      <c r="H71" s="7">
        <f>Raw_Data[[#This Row],[Przychód brutto (Revenue)]]</f>
        <v>2716.8285714285721</v>
      </c>
      <c r="I7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1005.1457142857148</v>
      </c>
      <c r="J71" s="23">
        <f>Processed_data[[#This Row],[Zysk brutto
(Gross profit)]]/Processed_data[[#This Row],[Przychód brutto (Revenue)]]</f>
        <v>0.36997023840822818</v>
      </c>
      <c r="K71" t="str">
        <f>IF(Processed_data[[#This Row],[Marża (Margin)]]&gt;0.6,"wysoka",IF(Processed_data[[#This Row],[Marża (Margin)]]&gt;0.3,"średnia","niska"))</f>
        <v>średnia</v>
      </c>
      <c r="L71">
        <f>MONTH(Raw_Data[[#This Row],[Data zamów. (Order date)]])</f>
        <v>2</v>
      </c>
      <c r="M71" t="str">
        <f>TEXT(Raw_Data[[#This Row],[Data zamów. (Order date)]], "MMMM")</f>
        <v>luty</v>
      </c>
      <c r="N71">
        <f>IF(Processed_data[[#This Row],[Miesiąc (Month)]]&lt;=3,1,IF(Processed_data[[#This Row],[Miesiąc (Month)]]&lt;=6,2,IF(Processed_data[[#This Row],[Miesiąc (Month)]]&lt;=9,3,4)))</f>
        <v>1</v>
      </c>
    </row>
    <row r="72" spans="1:14" x14ac:dyDescent="0.25">
      <c r="A72" s="6" t="str">
        <f>Raw_Data[[#This Row],[ID zamów. (Order ID)]]</f>
        <v>ORD0071</v>
      </c>
      <c r="B72" s="6" t="str">
        <f>Raw_Data[[#This Row],[ID klienta (Client ID)]]</f>
        <v>CUST3536</v>
      </c>
      <c r="C72" s="6" t="str">
        <f>_xlfn.XLOOKUP(Raw_Data[[#This Row],[Produkt (Product)]],'Product lookup table'!$A$2:$A$20,'Product lookup table'!$B$2:$B$20)</f>
        <v>Kosmetyki</v>
      </c>
      <c r="D72" s="6" t="str">
        <f>Raw_Data[[#This Row],[Produkt (Product)]]</f>
        <v>Krem do twarzy</v>
      </c>
      <c r="E72" s="6" t="str">
        <f>Raw_Data[[#This Row],[Kanał sprzedaży (Marketplace)]]</f>
        <v>Empik Marketplace</v>
      </c>
      <c r="F72" s="6" t="str">
        <f>Raw_Data[[#This Row],[Miasto (City)]]</f>
        <v>Gdańsk</v>
      </c>
      <c r="G72" s="6">
        <f>Raw_Data[[#This Row],[Ilość (Quant.)]]</f>
        <v>4</v>
      </c>
      <c r="H72" s="7">
        <f>Raw_Data[[#This Row],[Przychód brutto (Revenue)]]</f>
        <v>298.71555555555562</v>
      </c>
      <c r="I7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168.84400000000005</v>
      </c>
      <c r="J72" s="23">
        <f>Processed_data[[#This Row],[Zysk brutto
(Gross profit)]]/Processed_data[[#This Row],[Przychód brutto (Revenue)]]</f>
        <v>0.56523336953772452</v>
      </c>
      <c r="K72" t="str">
        <f>IF(Processed_data[[#This Row],[Marża (Margin)]]&gt;0.6,"wysoka",IF(Processed_data[[#This Row],[Marża (Margin)]]&gt;0.3,"średnia","niska"))</f>
        <v>średnia</v>
      </c>
      <c r="L72">
        <f>MONTH(Raw_Data[[#This Row],[Data zamów. (Order date)]])</f>
        <v>11</v>
      </c>
      <c r="M72" t="str">
        <f>TEXT(Raw_Data[[#This Row],[Data zamów. (Order date)]], "MMMM")</f>
        <v>listopad</v>
      </c>
      <c r="N72">
        <f>IF(Processed_data[[#This Row],[Miesiąc (Month)]]&lt;=3,1,IF(Processed_data[[#This Row],[Miesiąc (Month)]]&lt;=6,2,IF(Processed_data[[#This Row],[Miesiąc (Month)]]&lt;=9,3,4)))</f>
        <v>4</v>
      </c>
    </row>
    <row r="73" spans="1:14" x14ac:dyDescent="0.25">
      <c r="A73" s="6" t="str">
        <f>Raw_Data[[#This Row],[ID zamów. (Order ID)]]</f>
        <v>ORD0072</v>
      </c>
      <c r="B73" s="6" t="str">
        <f>Raw_Data[[#This Row],[ID klienta (Client ID)]]</f>
        <v>CUST1476</v>
      </c>
      <c r="C73" s="6" t="str">
        <f>_xlfn.XLOOKUP(Raw_Data[[#This Row],[Produkt (Product)]],'Product lookup table'!$A$2:$A$20,'Product lookup table'!$B$2:$B$20)</f>
        <v>Home</v>
      </c>
      <c r="D73" s="6" t="str">
        <f>Raw_Data[[#This Row],[Produkt (Product)]]</f>
        <v>Poduszka dekoracyjna</v>
      </c>
      <c r="E73" s="6" t="str">
        <f>Raw_Data[[#This Row],[Kanał sprzedaży (Marketplace)]]</f>
        <v>Allegro</v>
      </c>
      <c r="F73" s="6" t="str">
        <f>Raw_Data[[#This Row],[Miasto (City)]]</f>
        <v>Warszawa</v>
      </c>
      <c r="G73" s="6">
        <f>Raw_Data[[#This Row],[Ilość (Quant.)]]</f>
        <v>3</v>
      </c>
      <c r="H73" s="7">
        <f>Raw_Data[[#This Row],[Przychód brutto (Revenue)]]</f>
        <v>217.04999999999998</v>
      </c>
      <c r="I7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109.68599999999998</v>
      </c>
      <c r="J73" s="23">
        <f>Processed_data[[#This Row],[Zysk brutto
(Gross profit)]]/Processed_data[[#This Row],[Przychód brutto (Revenue)]]</f>
        <v>0.50534899792674493</v>
      </c>
      <c r="K73" t="str">
        <f>IF(Processed_data[[#This Row],[Marża (Margin)]]&gt;0.6,"wysoka",IF(Processed_data[[#This Row],[Marża (Margin)]]&gt;0.3,"średnia","niska"))</f>
        <v>średnia</v>
      </c>
      <c r="L73">
        <f>MONTH(Raw_Data[[#This Row],[Data zamów. (Order date)]])</f>
        <v>8</v>
      </c>
      <c r="M73" t="str">
        <f>TEXT(Raw_Data[[#This Row],[Data zamów. (Order date)]], "MMMM")</f>
        <v>sierpień</v>
      </c>
      <c r="N73">
        <f>IF(Processed_data[[#This Row],[Miesiąc (Month)]]&lt;=3,1,IF(Processed_data[[#This Row],[Miesiąc (Month)]]&lt;=6,2,IF(Processed_data[[#This Row],[Miesiąc (Month)]]&lt;=9,3,4)))</f>
        <v>3</v>
      </c>
    </row>
    <row r="74" spans="1:14" x14ac:dyDescent="0.25">
      <c r="A74" s="6" t="str">
        <f>Raw_Data[[#This Row],[ID zamów. (Order ID)]]</f>
        <v>ORD0073</v>
      </c>
      <c r="B74" s="6" t="str">
        <f>Raw_Data[[#This Row],[ID klienta (Client ID)]]</f>
        <v>CUST1476</v>
      </c>
      <c r="C74" s="6" t="str">
        <f>_xlfn.XLOOKUP(Raw_Data[[#This Row],[Produkt (Product)]],'Product lookup table'!$A$2:$A$20,'Product lookup table'!$B$2:$B$20)</f>
        <v>Kosmetyki</v>
      </c>
      <c r="D74" s="6" t="str">
        <f>Raw_Data[[#This Row],[Produkt (Product)]]</f>
        <v>Serum</v>
      </c>
      <c r="E74" s="6" t="str">
        <f>Raw_Data[[#This Row],[Kanał sprzedaży (Marketplace)]]</f>
        <v>Amazon</v>
      </c>
      <c r="F74" s="6" t="str">
        <f>Raw_Data[[#This Row],[Miasto (City)]]</f>
        <v>Warszawa</v>
      </c>
      <c r="G74" s="6">
        <f>Raw_Data[[#This Row],[Ilość (Quant.)]]</f>
        <v>2</v>
      </c>
      <c r="H74" s="7">
        <f>Raw_Data[[#This Row],[Przychód brutto (Revenue)]]</f>
        <v>163.7466666666667</v>
      </c>
      <c r="I7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84.097066666666692</v>
      </c>
      <c r="J74" s="23">
        <f>Processed_data[[#This Row],[Zysk brutto
(Gross profit)]]/Processed_data[[#This Row],[Przychód brutto (Revenue)]]</f>
        <v>0.51358032733490766</v>
      </c>
      <c r="K74" t="str">
        <f>IF(Processed_data[[#This Row],[Marża (Margin)]]&gt;0.6,"wysoka",IF(Processed_data[[#This Row],[Marża (Margin)]]&gt;0.3,"średnia","niska"))</f>
        <v>średnia</v>
      </c>
      <c r="L74">
        <f>MONTH(Raw_Data[[#This Row],[Data zamów. (Order date)]])</f>
        <v>12</v>
      </c>
      <c r="M74" t="str">
        <f>TEXT(Raw_Data[[#This Row],[Data zamów. (Order date)]], "MMMM")</f>
        <v>grudzień</v>
      </c>
      <c r="N74">
        <f>IF(Processed_data[[#This Row],[Miesiąc (Month)]]&lt;=3,1,IF(Processed_data[[#This Row],[Miesiąc (Month)]]&lt;=6,2,IF(Processed_data[[#This Row],[Miesiąc (Month)]]&lt;=9,3,4)))</f>
        <v>4</v>
      </c>
    </row>
    <row r="75" spans="1:14" x14ac:dyDescent="0.25">
      <c r="A75" s="6" t="str">
        <f>Raw_Data[[#This Row],[ID zamów. (Order ID)]]</f>
        <v>ORD0074</v>
      </c>
      <c r="B75" s="6" t="str">
        <f>Raw_Data[[#This Row],[ID klienta (Client ID)]]</f>
        <v>CUST1476</v>
      </c>
      <c r="C75" s="6" t="str">
        <f>_xlfn.XLOOKUP(Raw_Data[[#This Row],[Produkt (Product)]],'Product lookup table'!$A$2:$A$20,'Product lookup table'!$B$2:$B$20)</f>
        <v>Kosmetyki</v>
      </c>
      <c r="D75" s="6" t="str">
        <f>Raw_Data[[#This Row],[Produkt (Product)]]</f>
        <v>Paleta cieni</v>
      </c>
      <c r="E75" s="6" t="str">
        <f>Raw_Data[[#This Row],[Kanał sprzedaży (Marketplace)]]</f>
        <v>Allegro</v>
      </c>
      <c r="F75" s="6" t="str">
        <f>Raw_Data[[#This Row],[Miasto (City)]]</f>
        <v>Warszawa</v>
      </c>
      <c r="G75" s="6">
        <f>Raw_Data[[#This Row],[Ilość (Quant.)]]</f>
        <v>2</v>
      </c>
      <c r="H75" s="7">
        <f>Raw_Data[[#This Row],[Przychód brutto (Revenue)]]</f>
        <v>233.9688888888889</v>
      </c>
      <c r="I7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135.25137777777778</v>
      </c>
      <c r="J75" s="23">
        <f>Processed_data[[#This Row],[Zysk brutto
(Gross profit)]]/Processed_data[[#This Row],[Przychód brutto (Revenue)]]</f>
        <v>0.5780741978990559</v>
      </c>
      <c r="K75" t="str">
        <f>IF(Processed_data[[#This Row],[Marża (Margin)]]&gt;0.6,"wysoka",IF(Processed_data[[#This Row],[Marża (Margin)]]&gt;0.3,"średnia","niska"))</f>
        <v>średnia</v>
      </c>
      <c r="L75">
        <f>MONTH(Raw_Data[[#This Row],[Data zamów. (Order date)]])</f>
        <v>12</v>
      </c>
      <c r="M75" t="str">
        <f>TEXT(Raw_Data[[#This Row],[Data zamów. (Order date)]], "MMMM")</f>
        <v>grudzień</v>
      </c>
      <c r="N75">
        <f>IF(Processed_data[[#This Row],[Miesiąc (Month)]]&lt;=3,1,IF(Processed_data[[#This Row],[Miesiąc (Month)]]&lt;=6,2,IF(Processed_data[[#This Row],[Miesiąc (Month)]]&lt;=9,3,4)))</f>
        <v>4</v>
      </c>
    </row>
    <row r="76" spans="1:14" x14ac:dyDescent="0.25">
      <c r="A76" s="6" t="str">
        <f>Raw_Data[[#This Row],[ID zamów. (Order ID)]]</f>
        <v>ORD0075</v>
      </c>
      <c r="B76" s="6" t="str">
        <f>Raw_Data[[#This Row],[ID klienta (Client ID)]]</f>
        <v>CUST1476</v>
      </c>
      <c r="C76" s="6" t="str">
        <f>_xlfn.XLOOKUP(Raw_Data[[#This Row],[Produkt (Product)]],'Product lookup table'!$A$2:$A$20,'Product lookup table'!$B$2:$B$20)</f>
        <v>Kosmetyki</v>
      </c>
      <c r="D76" s="6" t="str">
        <f>Raw_Data[[#This Row],[Produkt (Product)]]</f>
        <v>Olejek</v>
      </c>
      <c r="E76" s="6" t="str">
        <f>Raw_Data[[#This Row],[Kanał sprzedaży (Marketplace)]]</f>
        <v>Shopify</v>
      </c>
      <c r="F76" s="6" t="str">
        <f>Raw_Data[[#This Row],[Miasto (City)]]</f>
        <v>Warszawa</v>
      </c>
      <c r="G76" s="6">
        <f>Raw_Data[[#This Row],[Ilość (Quant.)]]</f>
        <v>4</v>
      </c>
      <c r="H76" s="7">
        <f>Raw_Data[[#This Row],[Przychód brutto (Revenue)]]</f>
        <v>59.293333333333337</v>
      </c>
      <c r="I7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39.293333333333337</v>
      </c>
      <c r="J76" s="23">
        <f>Processed_data[[#This Row],[Zysk brutto
(Gross profit)]]/Processed_data[[#This Row],[Przychód brutto (Revenue)]]</f>
        <v>0.66269395097818751</v>
      </c>
      <c r="K76" t="str">
        <f>IF(Processed_data[[#This Row],[Marża (Margin)]]&gt;0.6,"wysoka",IF(Processed_data[[#This Row],[Marża (Margin)]]&gt;0.3,"średnia","niska"))</f>
        <v>wysoka</v>
      </c>
      <c r="L76">
        <f>MONTH(Raw_Data[[#This Row],[Data zamów. (Order date)]])</f>
        <v>7</v>
      </c>
      <c r="M76" t="str">
        <f>TEXT(Raw_Data[[#This Row],[Data zamów. (Order date)]], "MMMM")</f>
        <v>lipiec</v>
      </c>
      <c r="N76">
        <f>IF(Processed_data[[#This Row],[Miesiąc (Month)]]&lt;=3,1,IF(Processed_data[[#This Row],[Miesiąc (Month)]]&lt;=6,2,IF(Processed_data[[#This Row],[Miesiąc (Month)]]&lt;=9,3,4)))</f>
        <v>3</v>
      </c>
    </row>
    <row r="77" spans="1:14" x14ac:dyDescent="0.25">
      <c r="A77" s="6" t="str">
        <f>Raw_Data[[#This Row],[ID zamów. (Order ID)]]</f>
        <v>ORD0076</v>
      </c>
      <c r="B77" s="6" t="str">
        <f>Raw_Data[[#This Row],[ID klienta (Client ID)]]</f>
        <v>CUST1476</v>
      </c>
      <c r="C77" s="6" t="str">
        <f>_xlfn.XLOOKUP(Raw_Data[[#This Row],[Produkt (Product)]],'Product lookup table'!$A$2:$A$20,'Product lookup table'!$B$2:$B$20)</f>
        <v>Elektronika</v>
      </c>
      <c r="D77" s="6" t="str">
        <f>Raw_Data[[#This Row],[Produkt (Product)]]</f>
        <v>Powerbank</v>
      </c>
      <c r="E77" s="6" t="str">
        <f>Raw_Data[[#This Row],[Kanał sprzedaży (Marketplace)]]</f>
        <v>Amazon</v>
      </c>
      <c r="F77" s="6" t="str">
        <f>Raw_Data[[#This Row],[Miasto (City)]]</f>
        <v>Warszawa</v>
      </c>
      <c r="G77" s="6">
        <f>Raw_Data[[#This Row],[Ilość (Quant.)]]</f>
        <v>3</v>
      </c>
      <c r="H77" s="7">
        <f>Raw_Data[[#This Row],[Przychód brutto (Revenue)]]</f>
        <v>265.09826086956525</v>
      </c>
      <c r="I7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-6.7135304347825766</v>
      </c>
      <c r="J77" s="23">
        <f>Processed_data[[#This Row],[Zysk brutto
(Gross profit)]]/Processed_data[[#This Row],[Przychód brutto (Revenue)]]</f>
        <v>-2.5324686826541633E-2</v>
      </c>
      <c r="K77" t="str">
        <f>IF(Processed_data[[#This Row],[Marża (Margin)]]&gt;0.6,"wysoka",IF(Processed_data[[#This Row],[Marża (Margin)]]&gt;0.3,"średnia","niska"))</f>
        <v>niska</v>
      </c>
      <c r="L77">
        <f>MONTH(Raw_Data[[#This Row],[Data zamów. (Order date)]])</f>
        <v>7</v>
      </c>
      <c r="M77" t="str">
        <f>TEXT(Raw_Data[[#This Row],[Data zamów. (Order date)]], "MMMM")</f>
        <v>lipiec</v>
      </c>
      <c r="N77">
        <f>IF(Processed_data[[#This Row],[Miesiąc (Month)]]&lt;=3,1,IF(Processed_data[[#This Row],[Miesiąc (Month)]]&lt;=6,2,IF(Processed_data[[#This Row],[Miesiąc (Month)]]&lt;=9,3,4)))</f>
        <v>3</v>
      </c>
    </row>
    <row r="78" spans="1:14" x14ac:dyDescent="0.25">
      <c r="A78" s="6" t="str">
        <f>Raw_Data[[#This Row],[ID zamów. (Order ID)]]</f>
        <v>ORD0077</v>
      </c>
      <c r="B78" s="6" t="str">
        <f>Raw_Data[[#This Row],[ID klienta (Client ID)]]</f>
        <v>CUST1476</v>
      </c>
      <c r="C78" s="6" t="str">
        <f>_xlfn.XLOOKUP(Raw_Data[[#This Row],[Produkt (Product)]],'Product lookup table'!$A$2:$A$20,'Product lookup table'!$B$2:$B$20)</f>
        <v>Outdoor</v>
      </c>
      <c r="D78" s="6" t="str">
        <f>Raw_Data[[#This Row],[Produkt (Product)]]</f>
        <v>Śpiwór</v>
      </c>
      <c r="E78" s="6" t="str">
        <f>Raw_Data[[#This Row],[Kanał sprzedaży (Marketplace)]]</f>
        <v>Shopify</v>
      </c>
      <c r="F78" s="6" t="str">
        <f>Raw_Data[[#This Row],[Miasto (City)]]</f>
        <v>Warszawa</v>
      </c>
      <c r="G78" s="6">
        <f>Raw_Data[[#This Row],[Ilość (Quant.)]]</f>
        <v>2</v>
      </c>
      <c r="H78" s="7">
        <f>Raw_Data[[#This Row],[Przychód brutto (Revenue)]]</f>
        <v>980.41428571428582</v>
      </c>
      <c r="I7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440.41428571428582</v>
      </c>
      <c r="J78" s="23">
        <f>Processed_data[[#This Row],[Zysk brutto
(Gross profit)]]/Processed_data[[#This Row],[Przychód brutto (Revenue)]]</f>
        <v>0.44921243206224781</v>
      </c>
      <c r="K78" t="str">
        <f>IF(Processed_data[[#This Row],[Marża (Margin)]]&gt;0.6,"wysoka",IF(Processed_data[[#This Row],[Marża (Margin)]]&gt;0.3,"średnia","niska"))</f>
        <v>średnia</v>
      </c>
      <c r="L78">
        <f>MONTH(Raw_Data[[#This Row],[Data zamów. (Order date)]])</f>
        <v>9</v>
      </c>
      <c r="M78" t="str">
        <f>TEXT(Raw_Data[[#This Row],[Data zamów. (Order date)]], "MMMM")</f>
        <v>wrzesień</v>
      </c>
      <c r="N78">
        <f>IF(Processed_data[[#This Row],[Miesiąc (Month)]]&lt;=3,1,IF(Processed_data[[#This Row],[Miesiąc (Month)]]&lt;=6,2,IF(Processed_data[[#This Row],[Miesiąc (Month)]]&lt;=9,3,4)))</f>
        <v>3</v>
      </c>
    </row>
    <row r="79" spans="1:14" x14ac:dyDescent="0.25">
      <c r="A79" s="6" t="str">
        <f>Raw_Data[[#This Row],[ID zamów. (Order ID)]]</f>
        <v>ORD0078</v>
      </c>
      <c r="B79" s="6" t="str">
        <f>Raw_Data[[#This Row],[ID klienta (Client ID)]]</f>
        <v>CUST1476</v>
      </c>
      <c r="C79" s="6" t="str">
        <f>_xlfn.XLOOKUP(Raw_Data[[#This Row],[Produkt (Product)]],'Product lookup table'!$A$2:$A$20,'Product lookup table'!$B$2:$B$20)</f>
        <v>Kosmetyki</v>
      </c>
      <c r="D79" s="6" t="str">
        <f>Raw_Data[[#This Row],[Produkt (Product)]]</f>
        <v>Żel pod prysznic</v>
      </c>
      <c r="E79" s="6" t="str">
        <f>Raw_Data[[#This Row],[Kanał sprzedaży (Marketplace)]]</f>
        <v>Amazon</v>
      </c>
      <c r="F79" s="6" t="str">
        <f>Raw_Data[[#This Row],[Miasto (City)]]</f>
        <v>Warszawa</v>
      </c>
      <c r="G79" s="6">
        <f>Raw_Data[[#This Row],[Ilość (Quant.)]]</f>
        <v>1</v>
      </c>
      <c r="H79" s="7">
        <f>Raw_Data[[#This Row],[Przychód brutto (Revenue)]]</f>
        <v>8.456666666666667</v>
      </c>
      <c r="I7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4.9418666666666669</v>
      </c>
      <c r="J79" s="23">
        <f>Processed_data[[#This Row],[Zysk brutto
(Gross profit)]]/Processed_data[[#This Row],[Przychód brutto (Revenue)]]</f>
        <v>0.58437524635396132</v>
      </c>
      <c r="K79" t="str">
        <f>IF(Processed_data[[#This Row],[Marża (Margin)]]&gt;0.6,"wysoka",IF(Processed_data[[#This Row],[Marża (Margin)]]&gt;0.3,"średnia","niska"))</f>
        <v>średnia</v>
      </c>
      <c r="L79">
        <f>MONTH(Raw_Data[[#This Row],[Data zamów. (Order date)]])</f>
        <v>12</v>
      </c>
      <c r="M79" t="str">
        <f>TEXT(Raw_Data[[#This Row],[Data zamów. (Order date)]], "MMMM")</f>
        <v>grudzień</v>
      </c>
      <c r="N79">
        <f>IF(Processed_data[[#This Row],[Miesiąc (Month)]]&lt;=3,1,IF(Processed_data[[#This Row],[Miesiąc (Month)]]&lt;=6,2,IF(Processed_data[[#This Row],[Miesiąc (Month)]]&lt;=9,3,4)))</f>
        <v>4</v>
      </c>
    </row>
    <row r="80" spans="1:14" x14ac:dyDescent="0.25">
      <c r="A80" s="6" t="str">
        <f>Raw_Data[[#This Row],[ID zamów. (Order ID)]]</f>
        <v>ORD0079</v>
      </c>
      <c r="B80" s="6" t="str">
        <f>Raw_Data[[#This Row],[ID klienta (Client ID)]]</f>
        <v>CUST9351</v>
      </c>
      <c r="C80" s="6" t="str">
        <f>_xlfn.XLOOKUP(Raw_Data[[#This Row],[Produkt (Product)]],'Product lookup table'!$A$2:$A$20,'Product lookup table'!$B$2:$B$20)</f>
        <v>Elektronika</v>
      </c>
      <c r="D80" s="6" t="str">
        <f>Raw_Data[[#This Row],[Produkt (Product)]]</f>
        <v>Myszka</v>
      </c>
      <c r="E80" s="6" t="str">
        <f>Raw_Data[[#This Row],[Kanał sprzedaży (Marketplace)]]</f>
        <v>Shopify</v>
      </c>
      <c r="F80" s="6" t="str">
        <f>Raw_Data[[#This Row],[Miasto (City)]]</f>
        <v>Wrocław</v>
      </c>
      <c r="G80" s="6">
        <f>Raw_Data[[#This Row],[Ilość (Quant.)]]</f>
        <v>5</v>
      </c>
      <c r="H80" s="7">
        <f>Raw_Data[[#This Row],[Przychód brutto (Revenue)]]</f>
        <v>376.59619565217383</v>
      </c>
      <c r="I8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26.596195652173833</v>
      </c>
      <c r="J80" s="23">
        <f>Processed_data[[#This Row],[Zysk brutto
(Gross profit)]]/Processed_data[[#This Row],[Przychód brutto (Revenue)]]</f>
        <v>7.0622581850875138E-2</v>
      </c>
      <c r="K80" t="str">
        <f>IF(Processed_data[[#This Row],[Marża (Margin)]]&gt;0.6,"wysoka",IF(Processed_data[[#This Row],[Marża (Margin)]]&gt;0.3,"średnia","niska"))</f>
        <v>niska</v>
      </c>
      <c r="L80">
        <f>MONTH(Raw_Data[[#This Row],[Data zamów. (Order date)]])</f>
        <v>6</v>
      </c>
      <c r="M80" t="str">
        <f>TEXT(Raw_Data[[#This Row],[Data zamów. (Order date)]], "MMMM")</f>
        <v>czerwiec</v>
      </c>
      <c r="N80">
        <f>IF(Processed_data[[#This Row],[Miesiąc (Month)]]&lt;=3,1,IF(Processed_data[[#This Row],[Miesiąc (Month)]]&lt;=6,2,IF(Processed_data[[#This Row],[Miesiąc (Month)]]&lt;=9,3,4)))</f>
        <v>2</v>
      </c>
    </row>
    <row r="81" spans="1:14" x14ac:dyDescent="0.25">
      <c r="A81" s="6" t="str">
        <f>Raw_Data[[#This Row],[ID zamów. (Order ID)]]</f>
        <v>ORD0080</v>
      </c>
      <c r="B81" s="6" t="str">
        <f>Raw_Data[[#This Row],[ID klienta (Client ID)]]</f>
        <v>CUST4579</v>
      </c>
      <c r="C81" s="6" t="str">
        <f>_xlfn.XLOOKUP(Raw_Data[[#This Row],[Produkt (Product)]],'Product lookup table'!$A$2:$A$20,'Product lookup table'!$B$2:$B$20)</f>
        <v>Outdoor</v>
      </c>
      <c r="D81" s="6" t="str">
        <f>Raw_Data[[#This Row],[Produkt (Product)]]</f>
        <v>Latarka</v>
      </c>
      <c r="E81" s="6" t="str">
        <f>Raw_Data[[#This Row],[Kanał sprzedaży (Marketplace)]]</f>
        <v>Allegro</v>
      </c>
      <c r="F81" s="6" t="str">
        <f>Raw_Data[[#This Row],[Miasto (City)]]</f>
        <v>Gdańsk</v>
      </c>
      <c r="G81" s="6">
        <f>Raw_Data[[#This Row],[Ilość (Quant.)]]</f>
        <v>3</v>
      </c>
      <c r="H81" s="7">
        <f>Raw_Data[[#This Row],[Przychód brutto (Revenue)]]</f>
        <v>124.17</v>
      </c>
      <c r="I8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30.236400000000003</v>
      </c>
      <c r="J81" s="23">
        <f>Processed_data[[#This Row],[Zysk brutto
(Gross profit)]]/Processed_data[[#This Row],[Przychód brutto (Revenue)]]</f>
        <v>0.24350809374244989</v>
      </c>
      <c r="K81" t="str">
        <f>IF(Processed_data[[#This Row],[Marża (Margin)]]&gt;0.6,"wysoka",IF(Processed_data[[#This Row],[Marża (Margin)]]&gt;0.3,"średnia","niska"))</f>
        <v>niska</v>
      </c>
      <c r="L81">
        <f>MONTH(Raw_Data[[#This Row],[Data zamów. (Order date)]])</f>
        <v>9</v>
      </c>
      <c r="M81" t="str">
        <f>TEXT(Raw_Data[[#This Row],[Data zamów. (Order date)]], "MMMM")</f>
        <v>wrzesień</v>
      </c>
      <c r="N81">
        <f>IF(Processed_data[[#This Row],[Miesiąc (Month)]]&lt;=3,1,IF(Processed_data[[#This Row],[Miesiąc (Month)]]&lt;=6,2,IF(Processed_data[[#This Row],[Miesiąc (Month)]]&lt;=9,3,4)))</f>
        <v>3</v>
      </c>
    </row>
    <row r="82" spans="1:14" x14ac:dyDescent="0.25">
      <c r="A82" s="6" t="str">
        <f>Raw_Data[[#This Row],[ID zamów. (Order ID)]]</f>
        <v>ORD0081</v>
      </c>
      <c r="B82" s="6" t="str">
        <f>Raw_Data[[#This Row],[ID klienta (Client ID)]]</f>
        <v>CUST4579</v>
      </c>
      <c r="C82" s="6" t="str">
        <f>_xlfn.XLOOKUP(Raw_Data[[#This Row],[Produkt (Product)]],'Product lookup table'!$A$2:$A$20,'Product lookup table'!$B$2:$B$20)</f>
        <v>Kosmetyki</v>
      </c>
      <c r="D82" s="6" t="str">
        <f>Raw_Data[[#This Row],[Produkt (Product)]]</f>
        <v>Szampon</v>
      </c>
      <c r="E82" s="6" t="str">
        <f>Raw_Data[[#This Row],[Kanał sprzedaży (Marketplace)]]</f>
        <v>Shopify</v>
      </c>
      <c r="F82" s="6" t="str">
        <f>Raw_Data[[#This Row],[Miasto (City)]]</f>
        <v>Gdańsk</v>
      </c>
      <c r="G82" s="6">
        <f>Raw_Data[[#This Row],[Ilość (Quant.)]]</f>
        <v>1</v>
      </c>
      <c r="H82" s="7">
        <f>Raw_Data[[#This Row],[Przychód brutto (Revenue)]]</f>
        <v>9.0534444444444429</v>
      </c>
      <c r="I8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5.5534444444444429</v>
      </c>
      <c r="J82" s="23">
        <f>Processed_data[[#This Row],[Zysk brutto
(Gross profit)]]/Processed_data[[#This Row],[Przychód brutto (Revenue)]]</f>
        <v>0.61340680649476553</v>
      </c>
      <c r="K82" t="str">
        <f>IF(Processed_data[[#This Row],[Marża (Margin)]]&gt;0.6,"wysoka",IF(Processed_data[[#This Row],[Marża (Margin)]]&gt;0.3,"średnia","niska"))</f>
        <v>wysoka</v>
      </c>
      <c r="L82">
        <f>MONTH(Raw_Data[[#This Row],[Data zamów. (Order date)]])</f>
        <v>10</v>
      </c>
      <c r="M82" t="str">
        <f>TEXT(Raw_Data[[#This Row],[Data zamów. (Order date)]], "MMMM")</f>
        <v>październik</v>
      </c>
      <c r="N82">
        <f>IF(Processed_data[[#This Row],[Miesiąc (Month)]]&lt;=3,1,IF(Processed_data[[#This Row],[Miesiąc (Month)]]&lt;=6,2,IF(Processed_data[[#This Row],[Miesiąc (Month)]]&lt;=9,3,4)))</f>
        <v>4</v>
      </c>
    </row>
    <row r="83" spans="1:14" x14ac:dyDescent="0.25">
      <c r="A83" s="6" t="str">
        <f>Raw_Data[[#This Row],[ID zamów. (Order ID)]]</f>
        <v>ORD0082</v>
      </c>
      <c r="B83" s="6" t="str">
        <f>Raw_Data[[#This Row],[ID klienta (Client ID)]]</f>
        <v>CUST4579</v>
      </c>
      <c r="C83" s="6" t="str">
        <f>_xlfn.XLOOKUP(Raw_Data[[#This Row],[Produkt (Product)]],'Product lookup table'!$A$2:$A$20,'Product lookup table'!$B$2:$B$20)</f>
        <v>Home</v>
      </c>
      <c r="D83" s="6" t="str">
        <f>Raw_Data[[#This Row],[Produkt (Product)]]</f>
        <v>Wazon szklany</v>
      </c>
      <c r="E83" s="6" t="str">
        <f>Raw_Data[[#This Row],[Kanał sprzedaży (Marketplace)]]</f>
        <v>Shopify</v>
      </c>
      <c r="F83" s="6" t="str">
        <f>Raw_Data[[#This Row],[Miasto (City)]]</f>
        <v>Gdańsk</v>
      </c>
      <c r="G83" s="6">
        <f>Raw_Data[[#This Row],[Ilość (Quant.)]]</f>
        <v>3</v>
      </c>
      <c r="H83" s="7">
        <f>Raw_Data[[#This Row],[Przychód brutto (Revenue)]]</f>
        <v>117.51545454545455</v>
      </c>
      <c r="I8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72.515454545454546</v>
      </c>
      <c r="J83" s="23">
        <f>Processed_data[[#This Row],[Zysk brutto
(Gross profit)]]/Processed_data[[#This Row],[Przychód brutto (Revenue)]]</f>
        <v>0.61707164241453738</v>
      </c>
      <c r="K83" t="str">
        <f>IF(Processed_data[[#This Row],[Marża (Margin)]]&gt;0.6,"wysoka",IF(Processed_data[[#This Row],[Marża (Margin)]]&gt;0.3,"średnia","niska"))</f>
        <v>wysoka</v>
      </c>
      <c r="L83">
        <f>MONTH(Raw_Data[[#This Row],[Data zamów. (Order date)]])</f>
        <v>1</v>
      </c>
      <c r="M83" t="str">
        <f>TEXT(Raw_Data[[#This Row],[Data zamów. (Order date)]], "MMMM")</f>
        <v>styczeń</v>
      </c>
      <c r="N83">
        <f>IF(Processed_data[[#This Row],[Miesiąc (Month)]]&lt;=3,1,IF(Processed_data[[#This Row],[Miesiąc (Month)]]&lt;=6,2,IF(Processed_data[[#This Row],[Miesiąc (Month)]]&lt;=9,3,4)))</f>
        <v>1</v>
      </c>
    </row>
    <row r="84" spans="1:14" x14ac:dyDescent="0.25">
      <c r="A84" s="6" t="str">
        <f>Raw_Data[[#This Row],[ID zamów. (Order ID)]]</f>
        <v>ORD0083</v>
      </c>
      <c r="B84" s="6" t="str">
        <f>Raw_Data[[#This Row],[ID klienta (Client ID)]]</f>
        <v>CUST6077</v>
      </c>
      <c r="C84" s="6" t="str">
        <f>_xlfn.XLOOKUP(Raw_Data[[#This Row],[Produkt (Product)]],'Product lookup table'!$A$2:$A$20,'Product lookup table'!$B$2:$B$20)</f>
        <v>Outdoor</v>
      </c>
      <c r="D84" s="6" t="str">
        <f>Raw_Data[[#This Row],[Produkt (Product)]]</f>
        <v>Bidon</v>
      </c>
      <c r="E84" s="6" t="str">
        <f>Raw_Data[[#This Row],[Kanał sprzedaży (Marketplace)]]</f>
        <v>Shopify</v>
      </c>
      <c r="F84" s="6" t="str">
        <f>Raw_Data[[#This Row],[Miasto (City)]]</f>
        <v>Gdańsk</v>
      </c>
      <c r="G84" s="6">
        <f>Raw_Data[[#This Row],[Ilość (Quant.)]]</f>
        <v>4</v>
      </c>
      <c r="H84" s="7">
        <f>Raw_Data[[#This Row],[Przychód brutto (Revenue)]]</f>
        <v>97.601142857142847</v>
      </c>
      <c r="I8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37.601142857142847</v>
      </c>
      <c r="J84" s="23">
        <f>Processed_data[[#This Row],[Zysk brutto
(Gross profit)]]/Processed_data[[#This Row],[Przychód brutto (Revenue)]]</f>
        <v>0.38525310008079522</v>
      </c>
      <c r="K84" t="str">
        <f>IF(Processed_data[[#This Row],[Marża (Margin)]]&gt;0.6,"wysoka",IF(Processed_data[[#This Row],[Marża (Margin)]]&gt;0.3,"średnia","niska"))</f>
        <v>średnia</v>
      </c>
      <c r="L84">
        <f>MONTH(Raw_Data[[#This Row],[Data zamów. (Order date)]])</f>
        <v>7</v>
      </c>
      <c r="M84" t="str">
        <f>TEXT(Raw_Data[[#This Row],[Data zamów. (Order date)]], "MMMM")</f>
        <v>lipiec</v>
      </c>
      <c r="N84">
        <f>IF(Processed_data[[#This Row],[Miesiąc (Month)]]&lt;=3,1,IF(Processed_data[[#This Row],[Miesiąc (Month)]]&lt;=6,2,IF(Processed_data[[#This Row],[Miesiąc (Month)]]&lt;=9,3,4)))</f>
        <v>3</v>
      </c>
    </row>
    <row r="85" spans="1:14" x14ac:dyDescent="0.25">
      <c r="A85" s="6" t="str">
        <f>Raw_Data[[#This Row],[ID zamów. (Order ID)]]</f>
        <v>ORD0084</v>
      </c>
      <c r="B85" s="6" t="str">
        <f>Raw_Data[[#This Row],[ID klienta (Client ID)]]</f>
        <v>CUST6077</v>
      </c>
      <c r="C85" s="6" t="str">
        <f>_xlfn.XLOOKUP(Raw_Data[[#This Row],[Produkt (Product)]],'Product lookup table'!$A$2:$A$20,'Product lookup table'!$B$2:$B$20)</f>
        <v>Home</v>
      </c>
      <c r="D85" s="6" t="str">
        <f>Raw_Data[[#This Row],[Produkt (Product)]]</f>
        <v>Poduszka dekoracyjna</v>
      </c>
      <c r="E85" s="6" t="str">
        <f>Raw_Data[[#This Row],[Kanał sprzedaży (Marketplace)]]</f>
        <v>Empik Marketplace</v>
      </c>
      <c r="F85" s="6" t="str">
        <f>Raw_Data[[#This Row],[Miasto (City)]]</f>
        <v>Gdańsk</v>
      </c>
      <c r="G85" s="6">
        <f>Raw_Data[[#This Row],[Ilość (Quant.)]]</f>
        <v>4</v>
      </c>
      <c r="H85" s="7">
        <f>Raw_Data[[#This Row],[Przychód brutto (Revenue)]]</f>
        <v>239.29290909090912</v>
      </c>
      <c r="I8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95.363618181818211</v>
      </c>
      <c r="J85" s="23">
        <f>Processed_data[[#This Row],[Zysk brutto
(Gross profit)]]/Processed_data[[#This Row],[Przychód brutto (Revenue)]]</f>
        <v>0.39852254103187351</v>
      </c>
      <c r="K85" t="str">
        <f>IF(Processed_data[[#This Row],[Marża (Margin)]]&gt;0.6,"wysoka",IF(Processed_data[[#This Row],[Marża (Margin)]]&gt;0.3,"średnia","niska"))</f>
        <v>średnia</v>
      </c>
      <c r="L85">
        <f>MONTH(Raw_Data[[#This Row],[Data zamów. (Order date)]])</f>
        <v>10</v>
      </c>
      <c r="M85" t="str">
        <f>TEXT(Raw_Data[[#This Row],[Data zamów. (Order date)]], "MMMM")</f>
        <v>październik</v>
      </c>
      <c r="N85">
        <f>IF(Processed_data[[#This Row],[Miesiąc (Month)]]&lt;=3,1,IF(Processed_data[[#This Row],[Miesiąc (Month)]]&lt;=6,2,IF(Processed_data[[#This Row],[Miesiąc (Month)]]&lt;=9,3,4)))</f>
        <v>4</v>
      </c>
    </row>
    <row r="86" spans="1:14" x14ac:dyDescent="0.25">
      <c r="A86" s="6" t="str">
        <f>Raw_Data[[#This Row],[ID zamów. (Order ID)]]</f>
        <v>ORD0085</v>
      </c>
      <c r="B86" s="6" t="str">
        <f>Raw_Data[[#This Row],[ID klienta (Client ID)]]</f>
        <v>CUST7768</v>
      </c>
      <c r="C86" s="6" t="str">
        <f>_xlfn.XLOOKUP(Raw_Data[[#This Row],[Produkt (Product)]],'Product lookup table'!$A$2:$A$20,'Product lookup table'!$B$2:$B$20)</f>
        <v>Outdoor</v>
      </c>
      <c r="D86" s="6" t="str">
        <f>Raw_Data[[#This Row],[Produkt (Product)]]</f>
        <v>Buty trekkingowe</v>
      </c>
      <c r="E86" s="6" t="str">
        <f>Raw_Data[[#This Row],[Kanał sprzedaży (Marketplace)]]</f>
        <v>Allegro</v>
      </c>
      <c r="F86" s="6" t="str">
        <f>Raw_Data[[#This Row],[Miasto (City)]]</f>
        <v>Łódź</v>
      </c>
      <c r="G86" s="6">
        <f>Raw_Data[[#This Row],[Ilość (Quant.)]]</f>
        <v>2</v>
      </c>
      <c r="H86" s="7">
        <f>Raw_Data[[#This Row],[Przychód brutto (Revenue)]]</f>
        <v>1069.2792857142858</v>
      </c>
      <c r="I8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363.73694285714294</v>
      </c>
      <c r="J86" s="23">
        <f>Processed_data[[#This Row],[Zysk brutto
(Gross profit)]]/Processed_data[[#This Row],[Przychód brutto (Revenue)]]</f>
        <v>0.3401701947439898</v>
      </c>
      <c r="K86" t="str">
        <f>IF(Processed_data[[#This Row],[Marża (Margin)]]&gt;0.6,"wysoka",IF(Processed_data[[#This Row],[Marża (Margin)]]&gt;0.3,"średnia","niska"))</f>
        <v>średnia</v>
      </c>
      <c r="L86">
        <f>MONTH(Raw_Data[[#This Row],[Data zamów. (Order date)]])</f>
        <v>12</v>
      </c>
      <c r="M86" t="str">
        <f>TEXT(Raw_Data[[#This Row],[Data zamów. (Order date)]], "MMMM")</f>
        <v>grudzień</v>
      </c>
      <c r="N86">
        <f>IF(Processed_data[[#This Row],[Miesiąc (Month)]]&lt;=3,1,IF(Processed_data[[#This Row],[Miesiąc (Month)]]&lt;=6,2,IF(Processed_data[[#This Row],[Miesiąc (Month)]]&lt;=9,3,4)))</f>
        <v>4</v>
      </c>
    </row>
    <row r="87" spans="1:14" x14ac:dyDescent="0.25">
      <c r="A87" s="6" t="str">
        <f>Raw_Data[[#This Row],[ID zamów. (Order ID)]]</f>
        <v>ORD0086</v>
      </c>
      <c r="B87" s="6" t="str">
        <f>Raw_Data[[#This Row],[ID klienta (Client ID)]]</f>
        <v>CUST7768</v>
      </c>
      <c r="C87" s="6" t="str">
        <f>_xlfn.XLOOKUP(Raw_Data[[#This Row],[Produkt (Product)]],'Product lookup table'!$A$2:$A$20,'Product lookup table'!$B$2:$B$20)</f>
        <v>Outdoor</v>
      </c>
      <c r="D87" s="6" t="str">
        <f>Raw_Data[[#This Row],[Produkt (Product)]]</f>
        <v>Namiot</v>
      </c>
      <c r="E87" s="6" t="str">
        <f>Raw_Data[[#This Row],[Kanał sprzedaży (Marketplace)]]</f>
        <v>Allegro</v>
      </c>
      <c r="F87" s="6" t="str">
        <f>Raw_Data[[#This Row],[Miasto (City)]]</f>
        <v>Łódź</v>
      </c>
      <c r="G87" s="6">
        <f>Raw_Data[[#This Row],[Ilość (Quant.)]]</f>
        <v>3</v>
      </c>
      <c r="H87" s="7">
        <f>Raw_Data[[#This Row],[Przychód brutto (Revenue)]]</f>
        <v>1378.2495000000004</v>
      </c>
      <c r="I8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187.98954000000032</v>
      </c>
      <c r="J87" s="23">
        <f>Processed_data[[#This Row],[Zysk brutto
(Gross profit)]]/Processed_data[[#This Row],[Przychód brutto (Revenue)]]</f>
        <v>0.13639732138484378</v>
      </c>
      <c r="K87" t="str">
        <f>IF(Processed_data[[#This Row],[Marża (Margin)]]&gt;0.6,"wysoka",IF(Processed_data[[#This Row],[Marża (Margin)]]&gt;0.3,"średnia","niska"))</f>
        <v>niska</v>
      </c>
      <c r="L87">
        <f>MONTH(Raw_Data[[#This Row],[Data zamów. (Order date)]])</f>
        <v>11</v>
      </c>
      <c r="M87" t="str">
        <f>TEXT(Raw_Data[[#This Row],[Data zamów. (Order date)]], "MMMM")</f>
        <v>listopad</v>
      </c>
      <c r="N87">
        <f>IF(Processed_data[[#This Row],[Miesiąc (Month)]]&lt;=3,1,IF(Processed_data[[#This Row],[Miesiąc (Month)]]&lt;=6,2,IF(Processed_data[[#This Row],[Miesiąc (Month)]]&lt;=9,3,4)))</f>
        <v>4</v>
      </c>
    </row>
    <row r="88" spans="1:14" x14ac:dyDescent="0.25">
      <c r="A88" s="6" t="str">
        <f>Raw_Data[[#This Row],[ID zamów. (Order ID)]]</f>
        <v>ORD0087</v>
      </c>
      <c r="B88" s="6" t="str">
        <f>Raw_Data[[#This Row],[ID klienta (Client ID)]]</f>
        <v>CUST7768</v>
      </c>
      <c r="C88" s="6" t="str">
        <f>_xlfn.XLOOKUP(Raw_Data[[#This Row],[Produkt (Product)]],'Product lookup table'!$A$2:$A$20,'Product lookup table'!$B$2:$B$20)</f>
        <v>Elektronika</v>
      </c>
      <c r="D88" s="6" t="str">
        <f>Raw_Data[[#This Row],[Produkt (Product)]]</f>
        <v>Powerbank</v>
      </c>
      <c r="E88" s="6" t="str">
        <f>Raw_Data[[#This Row],[Kanał sprzedaży (Marketplace)]]</f>
        <v>Shopify</v>
      </c>
      <c r="F88" s="6" t="str">
        <f>Raw_Data[[#This Row],[Miasto (City)]]</f>
        <v>Łódź</v>
      </c>
      <c r="G88" s="6">
        <f>Raw_Data[[#This Row],[Ilość (Quant.)]]</f>
        <v>4</v>
      </c>
      <c r="H88" s="7">
        <f>Raw_Data[[#This Row],[Przychód brutto (Revenue)]]</f>
        <v>444.89913043478265</v>
      </c>
      <c r="I8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124.89913043478265</v>
      </c>
      <c r="J88" s="23">
        <f>Processed_data[[#This Row],[Zysk brutto
(Gross profit)]]/Processed_data[[#This Row],[Przychód brutto (Revenue)]]</f>
        <v>0.28073583850955963</v>
      </c>
      <c r="K88" t="str">
        <f>IF(Processed_data[[#This Row],[Marża (Margin)]]&gt;0.6,"wysoka",IF(Processed_data[[#This Row],[Marża (Margin)]]&gt;0.3,"średnia","niska"))</f>
        <v>niska</v>
      </c>
      <c r="L88">
        <f>MONTH(Raw_Data[[#This Row],[Data zamów. (Order date)]])</f>
        <v>4</v>
      </c>
      <c r="M88" t="str">
        <f>TEXT(Raw_Data[[#This Row],[Data zamów. (Order date)]], "MMMM")</f>
        <v>kwiecień</v>
      </c>
      <c r="N88">
        <f>IF(Processed_data[[#This Row],[Miesiąc (Month)]]&lt;=3,1,IF(Processed_data[[#This Row],[Miesiąc (Month)]]&lt;=6,2,IF(Processed_data[[#This Row],[Miesiąc (Month)]]&lt;=9,3,4)))</f>
        <v>2</v>
      </c>
    </row>
    <row r="89" spans="1:14" x14ac:dyDescent="0.25">
      <c r="A89" s="6" t="str">
        <f>Raw_Data[[#This Row],[ID zamów. (Order ID)]]</f>
        <v>ORD0088</v>
      </c>
      <c r="B89" s="6" t="str">
        <f>Raw_Data[[#This Row],[ID klienta (Client ID)]]</f>
        <v>CUST7768</v>
      </c>
      <c r="C89" s="6" t="str">
        <f>_xlfn.XLOOKUP(Raw_Data[[#This Row],[Produkt (Product)]],'Product lookup table'!$A$2:$A$20,'Product lookup table'!$B$2:$B$20)</f>
        <v>Kosmetyki</v>
      </c>
      <c r="D89" s="6" t="str">
        <f>Raw_Data[[#This Row],[Produkt (Product)]]</f>
        <v>Krem do twarzy</v>
      </c>
      <c r="E89" s="6" t="str">
        <f>Raw_Data[[#This Row],[Kanał sprzedaży (Marketplace)]]</f>
        <v>Amazon</v>
      </c>
      <c r="F89" s="6" t="str">
        <f>Raw_Data[[#This Row],[Miasto (City)]]</f>
        <v>Łódź</v>
      </c>
      <c r="G89" s="6">
        <f>Raw_Data[[#This Row],[Ilość (Quant.)]]</f>
        <v>5</v>
      </c>
      <c r="H89" s="7">
        <f>Raw_Data[[#This Row],[Przychód brutto (Revenue)]]</f>
        <v>324.39444444444439</v>
      </c>
      <c r="I8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160.46711111111108</v>
      </c>
      <c r="J89" s="23">
        <f>Processed_data[[#This Row],[Zysk brutto
(Gross profit)]]/Processed_data[[#This Row],[Przychód brutto (Revenue)]]</f>
        <v>0.49466664383209741</v>
      </c>
      <c r="K89" t="str">
        <f>IF(Processed_data[[#This Row],[Marża (Margin)]]&gt;0.6,"wysoka",IF(Processed_data[[#This Row],[Marża (Margin)]]&gt;0.3,"średnia","niska"))</f>
        <v>średnia</v>
      </c>
      <c r="L89">
        <f>MONTH(Raw_Data[[#This Row],[Data zamów. (Order date)]])</f>
        <v>1</v>
      </c>
      <c r="M89" t="str">
        <f>TEXT(Raw_Data[[#This Row],[Data zamów. (Order date)]], "MMMM")</f>
        <v>styczeń</v>
      </c>
      <c r="N89">
        <f>IF(Processed_data[[#This Row],[Miesiąc (Month)]]&lt;=3,1,IF(Processed_data[[#This Row],[Miesiąc (Month)]]&lt;=6,2,IF(Processed_data[[#This Row],[Miesiąc (Month)]]&lt;=9,3,4)))</f>
        <v>1</v>
      </c>
    </row>
    <row r="90" spans="1:14" x14ac:dyDescent="0.25">
      <c r="A90" s="6" t="str">
        <f>Raw_Data[[#This Row],[ID zamów. (Order ID)]]</f>
        <v>ORD0089</v>
      </c>
      <c r="B90" s="6" t="str">
        <f>Raw_Data[[#This Row],[ID klienta (Client ID)]]</f>
        <v>CUST7768</v>
      </c>
      <c r="C90" s="6" t="str">
        <f>_xlfn.XLOOKUP(Raw_Data[[#This Row],[Produkt (Product)]],'Product lookup table'!$A$2:$A$20,'Product lookup table'!$B$2:$B$20)</f>
        <v>Elektronika</v>
      </c>
      <c r="D90" s="6" t="str">
        <f>Raw_Data[[#This Row],[Produkt (Product)]]</f>
        <v>Myszka</v>
      </c>
      <c r="E90" s="6" t="str">
        <f>Raw_Data[[#This Row],[Kanał sprzedaży (Marketplace)]]</f>
        <v>Empik Marketplace</v>
      </c>
      <c r="F90" s="6" t="str">
        <f>Raw_Data[[#This Row],[Miasto (City)]]</f>
        <v>Łódź</v>
      </c>
      <c r="G90" s="6">
        <f>Raw_Data[[#This Row],[Ilość (Quant.)]]</f>
        <v>3</v>
      </c>
      <c r="H90" s="7">
        <f>Raw_Data[[#This Row],[Przychód brutto (Revenue)]]</f>
        <v>209.6221304347826</v>
      </c>
      <c r="I9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-21.340082608695656</v>
      </c>
      <c r="J90" s="23">
        <f>Processed_data[[#This Row],[Zysk brutto
(Gross profit)]]/Processed_data[[#This Row],[Przychód brutto (Revenue)]]</f>
        <v>-0.10180262248281537</v>
      </c>
      <c r="K90" t="str">
        <f>IF(Processed_data[[#This Row],[Marża (Margin)]]&gt;0.6,"wysoka",IF(Processed_data[[#This Row],[Marża (Margin)]]&gt;0.3,"średnia","niska"))</f>
        <v>niska</v>
      </c>
      <c r="L90">
        <f>MONTH(Raw_Data[[#This Row],[Data zamów. (Order date)]])</f>
        <v>8</v>
      </c>
      <c r="M90" t="str">
        <f>TEXT(Raw_Data[[#This Row],[Data zamów. (Order date)]], "MMMM")</f>
        <v>sierpień</v>
      </c>
      <c r="N90">
        <f>IF(Processed_data[[#This Row],[Miesiąc (Month)]]&lt;=3,1,IF(Processed_data[[#This Row],[Miesiąc (Month)]]&lt;=6,2,IF(Processed_data[[#This Row],[Miesiąc (Month)]]&lt;=9,3,4)))</f>
        <v>3</v>
      </c>
    </row>
    <row r="91" spans="1:14" x14ac:dyDescent="0.25">
      <c r="A91" s="6" t="str">
        <f>Raw_Data[[#This Row],[ID zamów. (Order ID)]]</f>
        <v>ORD0090</v>
      </c>
      <c r="B91" s="6" t="str">
        <f>Raw_Data[[#This Row],[ID klienta (Client ID)]]</f>
        <v>CUST9834</v>
      </c>
      <c r="C91" s="6" t="str">
        <f>_xlfn.XLOOKUP(Raw_Data[[#This Row],[Produkt (Product)]],'Product lookup table'!$A$2:$A$20,'Product lookup table'!$B$2:$B$20)</f>
        <v>Outdoor</v>
      </c>
      <c r="D91" s="6" t="str">
        <f>Raw_Data[[#This Row],[Produkt (Product)]]</f>
        <v>Latarka</v>
      </c>
      <c r="E91" s="6" t="str">
        <f>Raw_Data[[#This Row],[Kanał sprzedaży (Marketplace)]]</f>
        <v>Empik Marketplace</v>
      </c>
      <c r="F91" s="6" t="str">
        <f>Raw_Data[[#This Row],[Miasto (City)]]</f>
        <v>Gdańsk</v>
      </c>
      <c r="G91" s="6">
        <f>Raw_Data[[#This Row],[Ilość (Quant.)]]</f>
        <v>5</v>
      </c>
      <c r="H91" s="7">
        <f>Raw_Data[[#This Row],[Przychód brutto (Revenue)]]</f>
        <v>194.80500000000004</v>
      </c>
      <c r="I9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35.324500000000029</v>
      </c>
      <c r="J91" s="23">
        <f>Processed_data[[#This Row],[Zysk brutto
(Gross profit)]]/Processed_data[[#This Row],[Przychód brutto (Revenue)]]</f>
        <v>0.18133261466594811</v>
      </c>
      <c r="K91" t="str">
        <f>IF(Processed_data[[#This Row],[Marża (Margin)]]&gt;0.6,"wysoka",IF(Processed_data[[#This Row],[Marża (Margin)]]&gt;0.3,"średnia","niska"))</f>
        <v>niska</v>
      </c>
      <c r="L91">
        <f>MONTH(Raw_Data[[#This Row],[Data zamów. (Order date)]])</f>
        <v>11</v>
      </c>
      <c r="M91" t="str">
        <f>TEXT(Raw_Data[[#This Row],[Data zamów. (Order date)]], "MMMM")</f>
        <v>listopad</v>
      </c>
      <c r="N91">
        <f>IF(Processed_data[[#This Row],[Miesiąc (Month)]]&lt;=3,1,IF(Processed_data[[#This Row],[Miesiąc (Month)]]&lt;=6,2,IF(Processed_data[[#This Row],[Miesiąc (Month)]]&lt;=9,3,4)))</f>
        <v>4</v>
      </c>
    </row>
    <row r="92" spans="1:14" x14ac:dyDescent="0.25">
      <c r="A92" s="6" t="str">
        <f>Raw_Data[[#This Row],[ID zamów. (Order ID)]]</f>
        <v>ORD0091</v>
      </c>
      <c r="B92" s="6" t="str">
        <f>Raw_Data[[#This Row],[ID klienta (Client ID)]]</f>
        <v>CUST7768</v>
      </c>
      <c r="C92" s="6" t="str">
        <f>_xlfn.XLOOKUP(Raw_Data[[#This Row],[Produkt (Product)]],'Product lookup table'!$A$2:$A$20,'Product lookup table'!$B$2:$B$20)</f>
        <v>Kosmetyki</v>
      </c>
      <c r="D92" s="6" t="str">
        <f>Raw_Data[[#This Row],[Produkt (Product)]]</f>
        <v>Serum</v>
      </c>
      <c r="E92" s="6" t="str">
        <f>Raw_Data[[#This Row],[Kanał sprzedaży (Marketplace)]]</f>
        <v>Amazon</v>
      </c>
      <c r="F92" s="6" t="str">
        <f>Raw_Data[[#This Row],[Miasto (City)]]</f>
        <v>Łódź</v>
      </c>
      <c r="G92" s="6">
        <f>Raw_Data[[#This Row],[Ilość (Quant.)]]</f>
        <v>3</v>
      </c>
      <c r="H92" s="7">
        <f>Raw_Data[[#This Row],[Przychód brutto (Revenue)]]</f>
        <v>234.33300000000006</v>
      </c>
      <c r="I9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116.21304000000005</v>
      </c>
      <c r="J92" s="23">
        <f>Processed_data[[#This Row],[Zysk brutto
(Gross profit)]]/Processed_data[[#This Row],[Przychód brutto (Revenue)]]</f>
        <v>0.49593117486653615</v>
      </c>
      <c r="K92" t="str">
        <f>IF(Processed_data[[#This Row],[Marża (Margin)]]&gt;0.6,"wysoka",IF(Processed_data[[#This Row],[Marża (Margin)]]&gt;0.3,"średnia","niska"))</f>
        <v>średnia</v>
      </c>
      <c r="L92">
        <f>MONTH(Raw_Data[[#This Row],[Data zamów. (Order date)]])</f>
        <v>12</v>
      </c>
      <c r="M92" t="str">
        <f>TEXT(Raw_Data[[#This Row],[Data zamów. (Order date)]], "MMMM")</f>
        <v>grudzień</v>
      </c>
      <c r="N92">
        <f>IF(Processed_data[[#This Row],[Miesiąc (Month)]]&lt;=3,1,IF(Processed_data[[#This Row],[Miesiąc (Month)]]&lt;=6,2,IF(Processed_data[[#This Row],[Miesiąc (Month)]]&lt;=9,3,4)))</f>
        <v>4</v>
      </c>
    </row>
    <row r="93" spans="1:14" x14ac:dyDescent="0.25">
      <c r="A93" s="6" t="str">
        <f>Raw_Data[[#This Row],[ID zamów. (Order ID)]]</f>
        <v>ORD0092</v>
      </c>
      <c r="B93" s="6" t="str">
        <f>Raw_Data[[#This Row],[ID klienta (Client ID)]]</f>
        <v>CUST7768</v>
      </c>
      <c r="C93" s="6" t="str">
        <f>_xlfn.XLOOKUP(Raw_Data[[#This Row],[Produkt (Product)]],'Product lookup table'!$A$2:$A$20,'Product lookup table'!$B$2:$B$20)</f>
        <v>Elektronika</v>
      </c>
      <c r="D93" s="6" t="str">
        <f>Raw_Data[[#This Row],[Produkt (Product)]]</f>
        <v>Głośnik</v>
      </c>
      <c r="E93" s="6" t="str">
        <f>Raw_Data[[#This Row],[Kanał sprzedaży (Marketplace)]]</f>
        <v>Shopify</v>
      </c>
      <c r="F93" s="6" t="str">
        <f>Raw_Data[[#This Row],[Miasto (City)]]</f>
        <v>Łódź</v>
      </c>
      <c r="G93" s="6">
        <f>Raw_Data[[#This Row],[Ilość (Quant.)]]</f>
        <v>4</v>
      </c>
      <c r="H93" s="7">
        <f>Raw_Data[[#This Row],[Przychód brutto (Revenue)]]</f>
        <v>715.48217391304354</v>
      </c>
      <c r="I9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195.48217391304354</v>
      </c>
      <c r="J93" s="23">
        <f>Processed_data[[#This Row],[Zysk brutto
(Gross profit)]]/Processed_data[[#This Row],[Przychód brutto (Revenue)]]</f>
        <v>0.27321739246686189</v>
      </c>
      <c r="K93" t="str">
        <f>IF(Processed_data[[#This Row],[Marża (Margin)]]&gt;0.6,"wysoka",IF(Processed_data[[#This Row],[Marża (Margin)]]&gt;0.3,"średnia","niska"))</f>
        <v>niska</v>
      </c>
      <c r="L93">
        <f>MONTH(Raw_Data[[#This Row],[Data zamów. (Order date)]])</f>
        <v>11</v>
      </c>
      <c r="M93" t="str">
        <f>TEXT(Raw_Data[[#This Row],[Data zamów. (Order date)]], "MMMM")</f>
        <v>listopad</v>
      </c>
      <c r="N93">
        <f>IF(Processed_data[[#This Row],[Miesiąc (Month)]]&lt;=3,1,IF(Processed_data[[#This Row],[Miesiąc (Month)]]&lt;=6,2,IF(Processed_data[[#This Row],[Miesiąc (Month)]]&lt;=9,3,4)))</f>
        <v>4</v>
      </c>
    </row>
    <row r="94" spans="1:14" x14ac:dyDescent="0.25">
      <c r="A94" s="6" t="str">
        <f>Raw_Data[[#This Row],[ID zamów. (Order ID)]]</f>
        <v>ORD0093</v>
      </c>
      <c r="B94" s="6" t="str">
        <f>Raw_Data[[#This Row],[ID klienta (Client ID)]]</f>
        <v>CUST1505</v>
      </c>
      <c r="C94" s="6" t="str">
        <f>_xlfn.XLOOKUP(Raw_Data[[#This Row],[Produkt (Product)]],'Product lookup table'!$A$2:$A$20,'Product lookup table'!$B$2:$B$20)</f>
        <v>Outdoor</v>
      </c>
      <c r="D94" s="6" t="str">
        <f>Raw_Data[[#This Row],[Produkt (Product)]]</f>
        <v>Śpiwór</v>
      </c>
      <c r="E94" s="6" t="str">
        <f>Raw_Data[[#This Row],[Kanał sprzedaży (Marketplace)]]</f>
        <v>Shopify</v>
      </c>
      <c r="F94" s="6" t="str">
        <f>Raw_Data[[#This Row],[Miasto (City)]]</f>
        <v>Gdańsk</v>
      </c>
      <c r="G94" s="6">
        <f>Raw_Data[[#This Row],[Ilość (Quant.)]]</f>
        <v>1</v>
      </c>
      <c r="H94" s="7">
        <f>Raw_Data[[#This Row],[Przychód brutto (Revenue)]]</f>
        <v>429.18692857142855</v>
      </c>
      <c r="I9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159.18692857142855</v>
      </c>
      <c r="J94" s="23">
        <f>Processed_data[[#This Row],[Zysk brutto
(Gross profit)]]/Processed_data[[#This Row],[Przychód brutto (Revenue)]]</f>
        <v>0.37090348744145279</v>
      </c>
      <c r="K94" t="str">
        <f>IF(Processed_data[[#This Row],[Marża (Margin)]]&gt;0.6,"wysoka",IF(Processed_data[[#This Row],[Marża (Margin)]]&gt;0.3,"średnia","niska"))</f>
        <v>średnia</v>
      </c>
      <c r="L94">
        <f>MONTH(Raw_Data[[#This Row],[Data zamów. (Order date)]])</f>
        <v>8</v>
      </c>
      <c r="M94" t="str">
        <f>TEXT(Raw_Data[[#This Row],[Data zamów. (Order date)]], "MMMM")</f>
        <v>sierpień</v>
      </c>
      <c r="N94">
        <f>IF(Processed_data[[#This Row],[Miesiąc (Month)]]&lt;=3,1,IF(Processed_data[[#This Row],[Miesiąc (Month)]]&lt;=6,2,IF(Processed_data[[#This Row],[Miesiąc (Month)]]&lt;=9,3,4)))</f>
        <v>3</v>
      </c>
    </row>
    <row r="95" spans="1:14" x14ac:dyDescent="0.25">
      <c r="A95" s="6" t="str">
        <f>Raw_Data[[#This Row],[ID zamów. (Order ID)]]</f>
        <v>ORD0094</v>
      </c>
      <c r="B95" s="6" t="str">
        <f>Raw_Data[[#This Row],[ID klienta (Client ID)]]</f>
        <v>CUST9433</v>
      </c>
      <c r="C95" s="6" t="str">
        <f>_xlfn.XLOOKUP(Raw_Data[[#This Row],[Produkt (Product)]],'Product lookup table'!$A$2:$A$20,'Product lookup table'!$B$2:$B$20)</f>
        <v>Kosmetyki</v>
      </c>
      <c r="D95" s="6" t="str">
        <f>Raw_Data[[#This Row],[Produkt (Product)]]</f>
        <v>Paleta cieni</v>
      </c>
      <c r="E95" s="6" t="str">
        <f>Raw_Data[[#This Row],[Kanał sprzedaży (Marketplace)]]</f>
        <v>Allegro</v>
      </c>
      <c r="F95" s="6" t="str">
        <f>Raw_Data[[#This Row],[Miasto (City)]]</f>
        <v>Gdańsk</v>
      </c>
      <c r="G95" s="6">
        <f>Raw_Data[[#This Row],[Ilość (Quant.)]]</f>
        <v>1</v>
      </c>
      <c r="H95" s="7">
        <f>Raw_Data[[#This Row],[Przychód brutto (Revenue)]]</f>
        <v>100.82138888888888</v>
      </c>
      <c r="I9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52.755677777777763</v>
      </c>
      <c r="J95" s="23">
        <f>Processed_data[[#This Row],[Zysk brutto
(Gross profit)]]/Processed_data[[#This Row],[Przychód brutto (Revenue)]]</f>
        <v>0.52325878823111271</v>
      </c>
      <c r="K95" t="str">
        <f>IF(Processed_data[[#This Row],[Marża (Margin)]]&gt;0.6,"wysoka",IF(Processed_data[[#This Row],[Marża (Margin)]]&gt;0.3,"średnia","niska"))</f>
        <v>średnia</v>
      </c>
      <c r="L95">
        <f>MONTH(Raw_Data[[#This Row],[Data zamów. (Order date)]])</f>
        <v>9</v>
      </c>
      <c r="M95" t="str">
        <f>TEXT(Raw_Data[[#This Row],[Data zamów. (Order date)]], "MMMM")</f>
        <v>wrzesień</v>
      </c>
      <c r="N95">
        <f>IF(Processed_data[[#This Row],[Miesiąc (Month)]]&lt;=3,1,IF(Processed_data[[#This Row],[Miesiąc (Month)]]&lt;=6,2,IF(Processed_data[[#This Row],[Miesiąc (Month)]]&lt;=9,3,4)))</f>
        <v>3</v>
      </c>
    </row>
    <row r="96" spans="1:14" x14ac:dyDescent="0.25">
      <c r="A96" s="6" t="str">
        <f>Raw_Data[[#This Row],[ID zamów. (Order ID)]]</f>
        <v>ORD0095</v>
      </c>
      <c r="B96" s="6" t="str">
        <f>Raw_Data[[#This Row],[ID klienta (Client ID)]]</f>
        <v>CUST9332</v>
      </c>
      <c r="C96" s="6" t="str">
        <f>_xlfn.XLOOKUP(Raw_Data[[#This Row],[Produkt (Product)]],'Product lookup table'!$A$2:$A$20,'Product lookup table'!$B$2:$B$20)</f>
        <v>Outdoor</v>
      </c>
      <c r="D96" s="6" t="str">
        <f>Raw_Data[[#This Row],[Produkt (Product)]]</f>
        <v>Latarka</v>
      </c>
      <c r="E96" s="6" t="str">
        <f>Raw_Data[[#This Row],[Kanał sprzedaży (Marketplace)]]</f>
        <v>Empik Marketplace</v>
      </c>
      <c r="F96" s="6" t="str">
        <f>Raw_Data[[#This Row],[Miasto (City)]]</f>
        <v>Gdańsk</v>
      </c>
      <c r="G96" s="6">
        <f>Raw_Data[[#This Row],[Ilość (Quant.)]]</f>
        <v>1</v>
      </c>
      <c r="H96" s="7">
        <f>Raw_Data[[#This Row],[Przychód brutto (Revenue)]]</f>
        <v>45.190000000000005</v>
      </c>
      <c r="I9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12.671000000000003</v>
      </c>
      <c r="J96" s="23">
        <f>Processed_data[[#This Row],[Zysk brutto
(Gross profit)]]/Processed_data[[#This Row],[Przychód brutto (Revenue)]]</f>
        <v>0.2803938924540828</v>
      </c>
      <c r="K96" t="str">
        <f>IF(Processed_data[[#This Row],[Marża (Margin)]]&gt;0.6,"wysoka",IF(Processed_data[[#This Row],[Marża (Margin)]]&gt;0.3,"średnia","niska"))</f>
        <v>niska</v>
      </c>
      <c r="L96">
        <f>MONTH(Raw_Data[[#This Row],[Data zamów. (Order date)]])</f>
        <v>9</v>
      </c>
      <c r="M96" t="str">
        <f>TEXT(Raw_Data[[#This Row],[Data zamów. (Order date)]], "MMMM")</f>
        <v>wrzesień</v>
      </c>
      <c r="N96">
        <f>IF(Processed_data[[#This Row],[Miesiąc (Month)]]&lt;=3,1,IF(Processed_data[[#This Row],[Miesiąc (Month)]]&lt;=6,2,IF(Processed_data[[#This Row],[Miesiąc (Month)]]&lt;=9,3,4)))</f>
        <v>3</v>
      </c>
    </row>
    <row r="97" spans="1:14" x14ac:dyDescent="0.25">
      <c r="A97" s="6" t="str">
        <f>Raw_Data[[#This Row],[ID zamów. (Order ID)]]</f>
        <v>ORD0096</v>
      </c>
      <c r="B97" s="6" t="str">
        <f>Raw_Data[[#This Row],[ID klienta (Client ID)]]</f>
        <v>CUST6247</v>
      </c>
      <c r="C97" s="6" t="str">
        <f>_xlfn.XLOOKUP(Raw_Data[[#This Row],[Produkt (Product)]],'Product lookup table'!$A$2:$A$20,'Product lookup table'!$B$2:$B$20)</f>
        <v>Kosmetyki</v>
      </c>
      <c r="D97" s="6" t="str">
        <f>Raw_Data[[#This Row],[Produkt (Product)]]</f>
        <v>Krem do twarzy</v>
      </c>
      <c r="E97" s="6" t="str">
        <f>Raw_Data[[#This Row],[Kanał sprzedaży (Marketplace)]]</f>
        <v>Empik Marketplace</v>
      </c>
      <c r="F97" s="6" t="str">
        <f>Raw_Data[[#This Row],[Miasto (City)]]</f>
        <v>Łódź</v>
      </c>
      <c r="G97" s="6">
        <f>Raw_Data[[#This Row],[Ilość (Quant.)]]</f>
        <v>2</v>
      </c>
      <c r="H97" s="7">
        <f>Raw_Data[[#This Row],[Przychód brutto (Revenue)]]</f>
        <v>123.80222222222223</v>
      </c>
      <c r="I9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61.422000000000004</v>
      </c>
      <c r="J97" s="23">
        <f>Processed_data[[#This Row],[Zysk brutto
(Gross profit)]]/Processed_data[[#This Row],[Przychód brutto (Revenue)]]</f>
        <v>0.49613002818114915</v>
      </c>
      <c r="K97" t="str">
        <f>IF(Processed_data[[#This Row],[Marża (Margin)]]&gt;0.6,"wysoka",IF(Processed_data[[#This Row],[Marża (Margin)]]&gt;0.3,"średnia","niska"))</f>
        <v>średnia</v>
      </c>
      <c r="L97">
        <f>MONTH(Raw_Data[[#This Row],[Data zamów. (Order date)]])</f>
        <v>3</v>
      </c>
      <c r="M97" t="str">
        <f>TEXT(Raw_Data[[#This Row],[Data zamów. (Order date)]], "MMMM")</f>
        <v>marzec</v>
      </c>
      <c r="N97">
        <f>IF(Processed_data[[#This Row],[Miesiąc (Month)]]&lt;=3,1,IF(Processed_data[[#This Row],[Miesiąc (Month)]]&lt;=6,2,IF(Processed_data[[#This Row],[Miesiąc (Month)]]&lt;=9,3,4)))</f>
        <v>1</v>
      </c>
    </row>
    <row r="98" spans="1:14" x14ac:dyDescent="0.25">
      <c r="A98" s="6" t="str">
        <f>Raw_Data[[#This Row],[ID zamów. (Order ID)]]</f>
        <v>ORD0097</v>
      </c>
      <c r="B98" s="6" t="str">
        <f>Raw_Data[[#This Row],[ID klienta (Client ID)]]</f>
        <v>CUST3314</v>
      </c>
      <c r="C98" s="6" t="str">
        <f>_xlfn.XLOOKUP(Raw_Data[[#This Row],[Produkt (Product)]],'Product lookup table'!$A$2:$A$20,'Product lookup table'!$B$2:$B$20)</f>
        <v>Elektronika</v>
      </c>
      <c r="D98" s="6" t="str">
        <f>Raw_Data[[#This Row],[Produkt (Product)]]</f>
        <v>Myszka</v>
      </c>
      <c r="E98" s="6" t="str">
        <f>Raw_Data[[#This Row],[Kanał sprzedaży (Marketplace)]]</f>
        <v>Empik Marketplace</v>
      </c>
      <c r="F98" s="6" t="str">
        <f>Raw_Data[[#This Row],[Miasto (City)]]</f>
        <v>Łódź</v>
      </c>
      <c r="G98" s="6">
        <f>Raw_Data[[#This Row],[Ilość (Quant.)]]</f>
        <v>1</v>
      </c>
      <c r="H98" s="7">
        <f>Raw_Data[[#This Row],[Przychód brutto (Revenue)]]</f>
        <v>86.96054347826086</v>
      </c>
      <c r="I9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8.2644891304347734</v>
      </c>
      <c r="J98" s="23">
        <f>Processed_data[[#This Row],[Zysk brutto
(Gross profit)]]/Processed_data[[#This Row],[Przychód brutto (Revenue)]]</f>
        <v>9.5037229528134232E-2</v>
      </c>
      <c r="K98" t="str">
        <f>IF(Processed_data[[#This Row],[Marża (Margin)]]&gt;0.6,"wysoka",IF(Processed_data[[#This Row],[Marża (Margin)]]&gt;0.3,"średnia","niska"))</f>
        <v>niska</v>
      </c>
      <c r="L98">
        <f>MONTH(Raw_Data[[#This Row],[Data zamów. (Order date)]])</f>
        <v>10</v>
      </c>
      <c r="M98" t="str">
        <f>TEXT(Raw_Data[[#This Row],[Data zamów. (Order date)]], "MMMM")</f>
        <v>październik</v>
      </c>
      <c r="N98">
        <f>IF(Processed_data[[#This Row],[Miesiąc (Month)]]&lt;=3,1,IF(Processed_data[[#This Row],[Miesiąc (Month)]]&lt;=6,2,IF(Processed_data[[#This Row],[Miesiąc (Month)]]&lt;=9,3,4)))</f>
        <v>4</v>
      </c>
    </row>
    <row r="99" spans="1:14" x14ac:dyDescent="0.25">
      <c r="A99" s="6" t="str">
        <f>Raw_Data[[#This Row],[ID zamów. (Order ID)]]</f>
        <v>ORD0098</v>
      </c>
      <c r="B99" s="6" t="str">
        <f>Raw_Data[[#This Row],[ID klienta (Client ID)]]</f>
        <v>CUST8117</v>
      </c>
      <c r="C99" s="6" t="str">
        <f>_xlfn.XLOOKUP(Raw_Data[[#This Row],[Produkt (Product)]],'Product lookup table'!$A$2:$A$20,'Product lookup table'!$B$2:$B$20)</f>
        <v>Home</v>
      </c>
      <c r="D99" s="6" t="str">
        <f>Raw_Data[[#This Row],[Produkt (Product)]]</f>
        <v>Wazon szklany</v>
      </c>
      <c r="E99" s="6" t="str">
        <f>Raw_Data[[#This Row],[Kanał sprzedaży (Marketplace)]]</f>
        <v>Shopify</v>
      </c>
      <c r="F99" s="6" t="str">
        <f>Raw_Data[[#This Row],[Miasto (City)]]</f>
        <v>Warszawa</v>
      </c>
      <c r="G99" s="6">
        <f>Raw_Data[[#This Row],[Ilość (Quant.)]]</f>
        <v>2</v>
      </c>
      <c r="H99" s="7">
        <f>Raw_Data[[#This Row],[Przychód brutto (Revenue)]]</f>
        <v>65.798727272727277</v>
      </c>
      <c r="I9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35.798727272727277</v>
      </c>
      <c r="J99" s="23">
        <f>Processed_data[[#This Row],[Zysk brutto
(Gross profit)]]/Processed_data[[#This Row],[Przychód brutto (Revenue)]]</f>
        <v>0.54406412945262828</v>
      </c>
      <c r="K99" t="str">
        <f>IF(Processed_data[[#This Row],[Marża (Margin)]]&gt;0.6,"wysoka",IF(Processed_data[[#This Row],[Marża (Margin)]]&gt;0.3,"średnia","niska"))</f>
        <v>średnia</v>
      </c>
      <c r="L99">
        <f>MONTH(Raw_Data[[#This Row],[Data zamów. (Order date)]])</f>
        <v>1</v>
      </c>
      <c r="M99" t="str">
        <f>TEXT(Raw_Data[[#This Row],[Data zamów. (Order date)]], "MMMM")</f>
        <v>styczeń</v>
      </c>
      <c r="N99">
        <f>IF(Processed_data[[#This Row],[Miesiąc (Month)]]&lt;=3,1,IF(Processed_data[[#This Row],[Miesiąc (Month)]]&lt;=6,2,IF(Processed_data[[#This Row],[Miesiąc (Month)]]&lt;=9,3,4)))</f>
        <v>1</v>
      </c>
    </row>
    <row r="100" spans="1:14" x14ac:dyDescent="0.25">
      <c r="A100" s="6" t="str">
        <f>Raw_Data[[#This Row],[ID zamów. (Order ID)]]</f>
        <v>ORD0099</v>
      </c>
      <c r="B100" s="6" t="str">
        <f>Raw_Data[[#This Row],[ID klienta (Client ID)]]</f>
        <v>CUST8117</v>
      </c>
      <c r="C100" s="6" t="str">
        <f>_xlfn.XLOOKUP(Raw_Data[[#This Row],[Produkt (Product)]],'Product lookup table'!$A$2:$A$20,'Product lookup table'!$B$2:$B$20)</f>
        <v>Kosmetyki</v>
      </c>
      <c r="D100" s="6" t="str">
        <f>Raw_Data[[#This Row],[Produkt (Product)]]</f>
        <v>Olejek</v>
      </c>
      <c r="E100" s="6" t="str">
        <f>Raw_Data[[#This Row],[Kanał sprzedaży (Marketplace)]]</f>
        <v>Shopify</v>
      </c>
      <c r="F100" s="6" t="str">
        <f>Raw_Data[[#This Row],[Miasto (City)]]</f>
        <v>Warszawa</v>
      </c>
      <c r="G100" s="6">
        <f>Raw_Data[[#This Row],[Ilość (Quant.)]]</f>
        <v>5</v>
      </c>
      <c r="H100" s="7">
        <f>Raw_Data[[#This Row],[Przychód brutto (Revenue)]]</f>
        <v>68.563611111111101</v>
      </c>
      <c r="I10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43.563611111111101</v>
      </c>
      <c r="J100" s="23">
        <f>Processed_data[[#This Row],[Zysk brutto
(Gross profit)]]/Processed_data[[#This Row],[Przychód brutto (Revenue)]]</f>
        <v>0.63537509773973067</v>
      </c>
      <c r="K100" t="str">
        <f>IF(Processed_data[[#This Row],[Marża (Margin)]]&gt;0.6,"wysoka",IF(Processed_data[[#This Row],[Marża (Margin)]]&gt;0.3,"średnia","niska"))</f>
        <v>wysoka</v>
      </c>
      <c r="L100">
        <f>MONTH(Raw_Data[[#This Row],[Data zamów. (Order date)]])</f>
        <v>2</v>
      </c>
      <c r="M100" t="str">
        <f>TEXT(Raw_Data[[#This Row],[Data zamów. (Order date)]], "MMMM")</f>
        <v>luty</v>
      </c>
      <c r="N100">
        <f>IF(Processed_data[[#This Row],[Miesiąc (Month)]]&lt;=3,1,IF(Processed_data[[#This Row],[Miesiąc (Month)]]&lt;=6,2,IF(Processed_data[[#This Row],[Miesiąc (Month)]]&lt;=9,3,4)))</f>
        <v>1</v>
      </c>
    </row>
    <row r="101" spans="1:14" x14ac:dyDescent="0.25">
      <c r="A101" s="6" t="str">
        <f>Raw_Data[[#This Row],[ID zamów. (Order ID)]]</f>
        <v>ORD0100</v>
      </c>
      <c r="B101" s="6" t="str">
        <f>Raw_Data[[#This Row],[ID klienta (Client ID)]]</f>
        <v>CUST8117</v>
      </c>
      <c r="C101" s="6" t="str">
        <f>_xlfn.XLOOKUP(Raw_Data[[#This Row],[Produkt (Product)]],'Product lookup table'!$A$2:$A$20,'Product lookup table'!$B$2:$B$20)</f>
        <v>Kosmetyki</v>
      </c>
      <c r="D101" s="6" t="str">
        <f>Raw_Data[[#This Row],[Produkt (Product)]]</f>
        <v>Żel pod prysznic</v>
      </c>
      <c r="E101" s="6" t="str">
        <f>Raw_Data[[#This Row],[Kanał sprzedaży (Marketplace)]]</f>
        <v>Empik Marketplace</v>
      </c>
      <c r="F101" s="6" t="str">
        <f>Raw_Data[[#This Row],[Miasto (City)]]</f>
        <v>Warszawa</v>
      </c>
      <c r="G101" s="6">
        <f>Raw_Data[[#This Row],[Ilość (Quant.)]]</f>
        <v>3</v>
      </c>
      <c r="H101" s="7">
        <f>Raw_Data[[#This Row],[Przychód brutto (Revenue)]]</f>
        <v>19.786666666666665</v>
      </c>
      <c r="I10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10.307999999999998</v>
      </c>
      <c r="J101" s="23">
        <f>Processed_data[[#This Row],[Zysk brutto
(Gross profit)]]/Processed_data[[#This Row],[Przychód brutto (Revenue)]]</f>
        <v>0.52095687331536378</v>
      </c>
      <c r="K101" t="str">
        <f>IF(Processed_data[[#This Row],[Marża (Margin)]]&gt;0.6,"wysoka",IF(Processed_data[[#This Row],[Marża (Margin)]]&gt;0.3,"średnia","niska"))</f>
        <v>średnia</v>
      </c>
      <c r="L101">
        <f>MONTH(Raw_Data[[#This Row],[Data zamów. (Order date)]])</f>
        <v>3</v>
      </c>
      <c r="M101" t="str">
        <f>TEXT(Raw_Data[[#This Row],[Data zamów. (Order date)]], "MMMM")</f>
        <v>marzec</v>
      </c>
      <c r="N101">
        <f>IF(Processed_data[[#This Row],[Miesiąc (Month)]]&lt;=3,1,IF(Processed_data[[#This Row],[Miesiąc (Month)]]&lt;=6,2,IF(Processed_data[[#This Row],[Miesiąc (Month)]]&lt;=9,3,4)))</f>
        <v>1</v>
      </c>
    </row>
    <row r="102" spans="1:14" x14ac:dyDescent="0.25">
      <c r="A102" s="6" t="str">
        <f>Raw_Data[[#This Row],[ID zamów. (Order ID)]]</f>
        <v>ORD0101</v>
      </c>
      <c r="B102" s="6" t="str">
        <f>Raw_Data[[#This Row],[ID klienta (Client ID)]]</f>
        <v>CUST5218</v>
      </c>
      <c r="C102" s="6" t="str">
        <f>_xlfn.XLOOKUP(Raw_Data[[#This Row],[Produkt (Product)]],'Product lookup table'!$A$2:$A$20,'Product lookup table'!$B$2:$B$20)</f>
        <v>Outdoor</v>
      </c>
      <c r="D102" s="6" t="str">
        <f>Raw_Data[[#This Row],[Produkt (Product)]]</f>
        <v>Bidon</v>
      </c>
      <c r="E102" s="6" t="str">
        <f>Raw_Data[[#This Row],[Kanał sprzedaży (Marketplace)]]</f>
        <v>Amazon</v>
      </c>
      <c r="F102" s="6" t="str">
        <f>Raw_Data[[#This Row],[Miasto (City)]]</f>
        <v>Kraków</v>
      </c>
      <c r="G102" s="6">
        <f>Raw_Data[[#This Row],[Ilość (Quant.)]]</f>
        <v>3</v>
      </c>
      <c r="H102" s="7">
        <f>Raw_Data[[#This Row],[Przychód brutto (Revenue)]]</f>
        <v>71.628642857142836</v>
      </c>
      <c r="I10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18.033205714285696</v>
      </c>
      <c r="J102" s="23">
        <f>Processed_data[[#This Row],[Zysk brutto
(Gross profit)]]/Processed_data[[#This Row],[Przychód brutto (Revenue)]]</f>
        <v>0.25175970107728235</v>
      </c>
      <c r="K102" t="str">
        <f>IF(Processed_data[[#This Row],[Marża (Margin)]]&gt;0.6,"wysoka",IF(Processed_data[[#This Row],[Marża (Margin)]]&gt;0.3,"średnia","niska"))</f>
        <v>niska</v>
      </c>
      <c r="L102">
        <f>MONTH(Raw_Data[[#This Row],[Data zamów. (Order date)]])</f>
        <v>6</v>
      </c>
      <c r="M102" t="str">
        <f>TEXT(Raw_Data[[#This Row],[Data zamów. (Order date)]], "MMMM")</f>
        <v>czerwiec</v>
      </c>
      <c r="N102">
        <f>IF(Processed_data[[#This Row],[Miesiąc (Month)]]&lt;=3,1,IF(Processed_data[[#This Row],[Miesiąc (Month)]]&lt;=6,2,IF(Processed_data[[#This Row],[Miesiąc (Month)]]&lt;=9,3,4)))</f>
        <v>2</v>
      </c>
    </row>
    <row r="103" spans="1:14" x14ac:dyDescent="0.25">
      <c r="A103" s="6" t="str">
        <f>Raw_Data[[#This Row],[ID zamów. (Order ID)]]</f>
        <v>ORD0102</v>
      </c>
      <c r="B103" s="6" t="str">
        <f>Raw_Data[[#This Row],[ID klienta (Client ID)]]</f>
        <v>CUST8117</v>
      </c>
      <c r="C103" s="6" t="str">
        <f>_xlfn.XLOOKUP(Raw_Data[[#This Row],[Produkt (Product)]],'Product lookup table'!$A$2:$A$20,'Product lookup table'!$B$2:$B$20)</f>
        <v>Outdoor</v>
      </c>
      <c r="D103" s="6" t="str">
        <f>Raw_Data[[#This Row],[Produkt (Product)]]</f>
        <v>Bidon</v>
      </c>
      <c r="E103" s="6" t="str">
        <f>Raw_Data[[#This Row],[Kanał sprzedaży (Marketplace)]]</f>
        <v>Shopify</v>
      </c>
      <c r="F103" s="6" t="str">
        <f>Raw_Data[[#This Row],[Miasto (City)]]</f>
        <v>Warszawa</v>
      </c>
      <c r="G103" s="6">
        <f>Raw_Data[[#This Row],[Ilość (Quant.)]]</f>
        <v>5</v>
      </c>
      <c r="H103" s="7">
        <f>Raw_Data[[#This Row],[Przychód brutto (Revenue)]]</f>
        <v>128.17857142857142</v>
      </c>
      <c r="I10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53.178571428571416</v>
      </c>
      <c r="J103" s="23">
        <f>Processed_data[[#This Row],[Zysk brutto
(Gross profit)]]/Processed_data[[#This Row],[Przychód brutto (Revenue)]]</f>
        <v>0.41487879632209523</v>
      </c>
      <c r="K103" t="str">
        <f>IF(Processed_data[[#This Row],[Marża (Margin)]]&gt;0.6,"wysoka",IF(Processed_data[[#This Row],[Marża (Margin)]]&gt;0.3,"średnia","niska"))</f>
        <v>średnia</v>
      </c>
      <c r="L103">
        <f>MONTH(Raw_Data[[#This Row],[Data zamów. (Order date)]])</f>
        <v>9</v>
      </c>
      <c r="M103" t="str">
        <f>TEXT(Raw_Data[[#This Row],[Data zamów. (Order date)]], "MMMM")</f>
        <v>wrzesień</v>
      </c>
      <c r="N103">
        <f>IF(Processed_data[[#This Row],[Miesiąc (Month)]]&lt;=3,1,IF(Processed_data[[#This Row],[Miesiąc (Month)]]&lt;=6,2,IF(Processed_data[[#This Row],[Miesiąc (Month)]]&lt;=9,3,4)))</f>
        <v>3</v>
      </c>
    </row>
    <row r="104" spans="1:14" x14ac:dyDescent="0.25">
      <c r="A104" s="6" t="str">
        <f>Raw_Data[[#This Row],[ID zamów. (Order ID)]]</f>
        <v>ORD0103</v>
      </c>
      <c r="B104" s="6" t="str">
        <f>Raw_Data[[#This Row],[ID klienta (Client ID)]]</f>
        <v>CUST8117</v>
      </c>
      <c r="C104" s="6" t="str">
        <f>_xlfn.XLOOKUP(Raw_Data[[#This Row],[Produkt (Product)]],'Product lookup table'!$A$2:$A$20,'Product lookup table'!$B$2:$B$20)</f>
        <v>Elektronika</v>
      </c>
      <c r="D104" s="6" t="str">
        <f>Raw_Data[[#This Row],[Produkt (Product)]]</f>
        <v>Głośnik</v>
      </c>
      <c r="E104" s="6" t="str">
        <f>Raw_Data[[#This Row],[Kanał sprzedaży (Marketplace)]]</f>
        <v>Empik Marketplace</v>
      </c>
      <c r="F104" s="6" t="str">
        <f>Raw_Data[[#This Row],[Miasto (City)]]</f>
        <v>Warszawa</v>
      </c>
      <c r="G104" s="6">
        <f>Raw_Data[[#This Row],[Ilość (Quant.)]]</f>
        <v>2</v>
      </c>
      <c r="H104" s="7">
        <f>Raw_Data[[#This Row],[Przychód brutto (Revenue)]]</f>
        <v>282.83317391304354</v>
      </c>
      <c r="I10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-5.4501434782608165</v>
      </c>
      <c r="J104" s="23">
        <f>Processed_data[[#This Row],[Zysk brutto
(Gross profit)]]/Processed_data[[#This Row],[Przychód brutto (Revenue)]]</f>
        <v>-1.9269816913119433E-2</v>
      </c>
      <c r="K104" t="str">
        <f>IF(Processed_data[[#This Row],[Marża (Margin)]]&gt;0.6,"wysoka",IF(Processed_data[[#This Row],[Marża (Margin)]]&gt;0.3,"średnia","niska"))</f>
        <v>niska</v>
      </c>
      <c r="L104">
        <f>MONTH(Raw_Data[[#This Row],[Data zamów. (Order date)]])</f>
        <v>10</v>
      </c>
      <c r="M104" t="str">
        <f>TEXT(Raw_Data[[#This Row],[Data zamów. (Order date)]], "MMMM")</f>
        <v>październik</v>
      </c>
      <c r="N104">
        <f>IF(Processed_data[[#This Row],[Miesiąc (Month)]]&lt;=3,1,IF(Processed_data[[#This Row],[Miesiąc (Month)]]&lt;=6,2,IF(Processed_data[[#This Row],[Miesiąc (Month)]]&lt;=9,3,4)))</f>
        <v>4</v>
      </c>
    </row>
    <row r="105" spans="1:14" x14ac:dyDescent="0.25">
      <c r="A105" s="6" t="str">
        <f>Raw_Data[[#This Row],[ID zamów. (Order ID)]]</f>
        <v>ORD0104</v>
      </c>
      <c r="B105" s="6" t="str">
        <f>Raw_Data[[#This Row],[ID klienta (Client ID)]]</f>
        <v>CUST3771</v>
      </c>
      <c r="C105" s="6" t="str">
        <f>_xlfn.XLOOKUP(Raw_Data[[#This Row],[Produkt (Product)]],'Product lookup table'!$A$2:$A$20,'Product lookup table'!$B$2:$B$20)</f>
        <v>Outdoor</v>
      </c>
      <c r="D105" s="6" t="str">
        <f>Raw_Data[[#This Row],[Produkt (Product)]]</f>
        <v>Buty trekkingowe</v>
      </c>
      <c r="E105" s="6" t="str">
        <f>Raw_Data[[#This Row],[Kanał sprzedaży (Marketplace)]]</f>
        <v>Empik Marketplace</v>
      </c>
      <c r="F105" s="6" t="str">
        <f>Raw_Data[[#This Row],[Miasto (City)]]</f>
        <v>Łódź</v>
      </c>
      <c r="G105" s="6">
        <f>Raw_Data[[#This Row],[Ilość (Quant.)]]</f>
        <v>1</v>
      </c>
      <c r="H105" s="7">
        <f>Raw_Data[[#This Row],[Przychód brutto (Revenue)]]</f>
        <v>593.77857142857147</v>
      </c>
      <c r="I10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224.40071428571432</v>
      </c>
      <c r="J105" s="23">
        <f>Processed_data[[#This Row],[Zysk brutto
(Gross profit)]]/Processed_data[[#This Row],[Przychód brutto (Revenue)]]</f>
        <v>0.37791985949548296</v>
      </c>
      <c r="K105" t="str">
        <f>IF(Processed_data[[#This Row],[Marża (Margin)]]&gt;0.6,"wysoka",IF(Processed_data[[#This Row],[Marża (Margin)]]&gt;0.3,"średnia","niska"))</f>
        <v>średnia</v>
      </c>
      <c r="L105">
        <f>MONTH(Raw_Data[[#This Row],[Data zamów. (Order date)]])</f>
        <v>2</v>
      </c>
      <c r="M105" t="str">
        <f>TEXT(Raw_Data[[#This Row],[Data zamów. (Order date)]], "MMMM")</f>
        <v>luty</v>
      </c>
      <c r="N105">
        <f>IF(Processed_data[[#This Row],[Miesiąc (Month)]]&lt;=3,1,IF(Processed_data[[#This Row],[Miesiąc (Month)]]&lt;=6,2,IF(Processed_data[[#This Row],[Miesiąc (Month)]]&lt;=9,3,4)))</f>
        <v>1</v>
      </c>
    </row>
    <row r="106" spans="1:14" x14ac:dyDescent="0.25">
      <c r="A106" s="6" t="str">
        <f>Raw_Data[[#This Row],[ID zamów. (Order ID)]]</f>
        <v>ORD0105</v>
      </c>
      <c r="B106" s="6" t="str">
        <f>Raw_Data[[#This Row],[ID klienta (Client ID)]]</f>
        <v>CUST3771</v>
      </c>
      <c r="C106" s="6" t="str">
        <f>_xlfn.XLOOKUP(Raw_Data[[#This Row],[Produkt (Product)]],'Product lookup table'!$A$2:$A$20,'Product lookup table'!$B$2:$B$20)</f>
        <v>Home</v>
      </c>
      <c r="D106" s="6" t="str">
        <f>Raw_Data[[#This Row],[Produkt (Product)]]</f>
        <v>Kubek</v>
      </c>
      <c r="E106" s="6" t="str">
        <f>Raw_Data[[#This Row],[Kanał sprzedaży (Marketplace)]]</f>
        <v>Shopify</v>
      </c>
      <c r="F106" s="6" t="str">
        <f>Raw_Data[[#This Row],[Miasto (City)]]</f>
        <v>Łódź</v>
      </c>
      <c r="G106" s="6">
        <f>Raw_Data[[#This Row],[Ilość (Quant.)]]</f>
        <v>2</v>
      </c>
      <c r="H106" s="7">
        <f>Raw_Data[[#This Row],[Przychód brutto (Revenue)]]</f>
        <v>35.38636363636364</v>
      </c>
      <c r="I10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17.38636363636364</v>
      </c>
      <c r="J106" s="23">
        <f>Processed_data[[#This Row],[Zysk brutto
(Gross profit)]]/Processed_data[[#This Row],[Przychód brutto (Revenue)]]</f>
        <v>0.49132947976878616</v>
      </c>
      <c r="K106" t="str">
        <f>IF(Processed_data[[#This Row],[Marża (Margin)]]&gt;0.6,"wysoka",IF(Processed_data[[#This Row],[Marża (Margin)]]&gt;0.3,"średnia","niska"))</f>
        <v>średnia</v>
      </c>
      <c r="L106">
        <f>MONTH(Raw_Data[[#This Row],[Data zamów. (Order date)]])</f>
        <v>9</v>
      </c>
      <c r="M106" t="str">
        <f>TEXT(Raw_Data[[#This Row],[Data zamów. (Order date)]], "MMMM")</f>
        <v>wrzesień</v>
      </c>
      <c r="N106">
        <f>IF(Processed_data[[#This Row],[Miesiąc (Month)]]&lt;=3,1,IF(Processed_data[[#This Row],[Miesiąc (Month)]]&lt;=6,2,IF(Processed_data[[#This Row],[Miesiąc (Month)]]&lt;=9,3,4)))</f>
        <v>3</v>
      </c>
    </row>
    <row r="107" spans="1:14" x14ac:dyDescent="0.25">
      <c r="A107" s="6" t="str">
        <f>Raw_Data[[#This Row],[ID zamów. (Order ID)]]</f>
        <v>ORD0106</v>
      </c>
      <c r="B107" s="6" t="str">
        <f>Raw_Data[[#This Row],[ID klienta (Client ID)]]</f>
        <v>CUST3771</v>
      </c>
      <c r="C107" s="6" t="str">
        <f>_xlfn.XLOOKUP(Raw_Data[[#This Row],[Produkt (Product)]],'Product lookup table'!$A$2:$A$20,'Product lookup table'!$B$2:$B$20)</f>
        <v>Kosmetyki</v>
      </c>
      <c r="D107" s="6" t="str">
        <f>Raw_Data[[#This Row],[Produkt (Product)]]</f>
        <v>Szampon</v>
      </c>
      <c r="E107" s="6" t="str">
        <f>Raw_Data[[#This Row],[Kanał sprzedaży (Marketplace)]]</f>
        <v>Amazon</v>
      </c>
      <c r="F107" s="6" t="str">
        <f>Raw_Data[[#This Row],[Miasto (City)]]</f>
        <v>Łódź</v>
      </c>
      <c r="G107" s="6">
        <f>Raw_Data[[#This Row],[Ilość (Quant.)]]</f>
        <v>2</v>
      </c>
      <c r="H107" s="7">
        <f>Raw_Data[[#This Row],[Przychód brutto (Revenue)]]</f>
        <v>16.255555555555556</v>
      </c>
      <c r="I10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7.3048888888888897</v>
      </c>
      <c r="J107" s="23">
        <f>Processed_data[[#This Row],[Zysk brutto
(Gross profit)]]/Processed_data[[#This Row],[Przychód brutto (Revenue)]]</f>
        <v>0.44937799043062204</v>
      </c>
      <c r="K107" t="str">
        <f>IF(Processed_data[[#This Row],[Marża (Margin)]]&gt;0.6,"wysoka",IF(Processed_data[[#This Row],[Marża (Margin)]]&gt;0.3,"średnia","niska"))</f>
        <v>średnia</v>
      </c>
      <c r="L107">
        <f>MONTH(Raw_Data[[#This Row],[Data zamów. (Order date)]])</f>
        <v>9</v>
      </c>
      <c r="M107" t="str">
        <f>TEXT(Raw_Data[[#This Row],[Data zamów. (Order date)]], "MMMM")</f>
        <v>wrzesień</v>
      </c>
      <c r="N107">
        <f>IF(Processed_data[[#This Row],[Miesiąc (Month)]]&lt;=3,1,IF(Processed_data[[#This Row],[Miesiąc (Month)]]&lt;=6,2,IF(Processed_data[[#This Row],[Miesiąc (Month)]]&lt;=9,3,4)))</f>
        <v>3</v>
      </c>
    </row>
    <row r="108" spans="1:14" x14ac:dyDescent="0.25">
      <c r="A108" s="6" t="str">
        <f>Raw_Data[[#This Row],[ID zamów. (Order ID)]]</f>
        <v>ORD0107</v>
      </c>
      <c r="B108" s="6" t="str">
        <f>Raw_Data[[#This Row],[ID klienta (Client ID)]]</f>
        <v>CUST2870</v>
      </c>
      <c r="C108" s="6" t="str">
        <f>_xlfn.XLOOKUP(Raw_Data[[#This Row],[Produkt (Product)]],'Product lookup table'!$A$2:$A$20,'Product lookup table'!$B$2:$B$20)</f>
        <v>Elektronika</v>
      </c>
      <c r="D108" s="6" t="str">
        <f>Raw_Data[[#This Row],[Produkt (Product)]]</f>
        <v>Klawiatura</v>
      </c>
      <c r="E108" s="6" t="str">
        <f>Raw_Data[[#This Row],[Kanał sprzedaży (Marketplace)]]</f>
        <v>Allegro</v>
      </c>
      <c r="F108" s="6" t="str">
        <f>Raw_Data[[#This Row],[Miasto (City)]]</f>
        <v>Poznań</v>
      </c>
      <c r="G108" s="6">
        <f>Raw_Data[[#This Row],[Ilość (Quant.)]]</f>
        <v>1</v>
      </c>
      <c r="H108" s="7">
        <f>Raw_Data[[#This Row],[Przychód brutto (Revenue)]]</f>
        <v>126.79317391304346</v>
      </c>
      <c r="I10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6.6497199999999843</v>
      </c>
      <c r="J108" s="23">
        <f>Processed_data[[#This Row],[Zysk brutto
(Gross profit)]]/Processed_data[[#This Row],[Przychód brutto (Revenue)]]</f>
        <v>5.2445410070422686E-2</v>
      </c>
      <c r="K108" t="str">
        <f>IF(Processed_data[[#This Row],[Marża (Margin)]]&gt;0.6,"wysoka",IF(Processed_data[[#This Row],[Marża (Margin)]]&gt;0.3,"średnia","niska"))</f>
        <v>niska</v>
      </c>
      <c r="L108">
        <f>MONTH(Raw_Data[[#This Row],[Data zamów. (Order date)]])</f>
        <v>5</v>
      </c>
      <c r="M108" t="str">
        <f>TEXT(Raw_Data[[#This Row],[Data zamów. (Order date)]], "MMMM")</f>
        <v>maj</v>
      </c>
      <c r="N108">
        <f>IF(Processed_data[[#This Row],[Miesiąc (Month)]]&lt;=3,1,IF(Processed_data[[#This Row],[Miesiąc (Month)]]&lt;=6,2,IF(Processed_data[[#This Row],[Miesiąc (Month)]]&lt;=9,3,4)))</f>
        <v>2</v>
      </c>
    </row>
    <row r="109" spans="1:14" x14ac:dyDescent="0.25">
      <c r="A109" s="6" t="str">
        <f>Raw_Data[[#This Row],[ID zamów. (Order ID)]]</f>
        <v>ORD0108</v>
      </c>
      <c r="B109" s="6" t="str">
        <f>Raw_Data[[#This Row],[ID klienta (Client ID)]]</f>
        <v>CUST2870</v>
      </c>
      <c r="C109" s="6" t="str">
        <f>_xlfn.XLOOKUP(Raw_Data[[#This Row],[Produkt (Product)]],'Product lookup table'!$A$2:$A$20,'Product lookup table'!$B$2:$B$20)</f>
        <v>Outdoor</v>
      </c>
      <c r="D109" s="6" t="str">
        <f>Raw_Data[[#This Row],[Produkt (Product)]]</f>
        <v>Namiot</v>
      </c>
      <c r="E109" s="6" t="str">
        <f>Raw_Data[[#This Row],[Kanał sprzedaży (Marketplace)]]</f>
        <v>Empik Marketplace</v>
      </c>
      <c r="F109" s="6" t="str">
        <f>Raw_Data[[#This Row],[Miasto (City)]]</f>
        <v>Poznań</v>
      </c>
      <c r="G109" s="6">
        <f>Raw_Data[[#This Row],[Ilość (Quant.)]]</f>
        <v>2</v>
      </c>
      <c r="H109" s="7">
        <f>Raw_Data[[#This Row],[Przychód brutto (Revenue)]]</f>
        <v>1348.5085714285715</v>
      </c>
      <c r="I10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493.65771428571429</v>
      </c>
      <c r="J109" s="23">
        <f>Processed_data[[#This Row],[Zysk brutto
(Gross profit)]]/Processed_data[[#This Row],[Przychód brutto (Revenue)]]</f>
        <v>0.36607680866481063</v>
      </c>
      <c r="K109" t="str">
        <f>IF(Processed_data[[#This Row],[Marża (Margin)]]&gt;0.6,"wysoka",IF(Processed_data[[#This Row],[Marża (Margin)]]&gt;0.3,"średnia","niska"))</f>
        <v>średnia</v>
      </c>
      <c r="L109">
        <f>MONTH(Raw_Data[[#This Row],[Data zamów. (Order date)]])</f>
        <v>5</v>
      </c>
      <c r="M109" t="str">
        <f>TEXT(Raw_Data[[#This Row],[Data zamów. (Order date)]], "MMMM")</f>
        <v>maj</v>
      </c>
      <c r="N109">
        <f>IF(Processed_data[[#This Row],[Miesiąc (Month)]]&lt;=3,1,IF(Processed_data[[#This Row],[Miesiąc (Month)]]&lt;=6,2,IF(Processed_data[[#This Row],[Miesiąc (Month)]]&lt;=9,3,4)))</f>
        <v>2</v>
      </c>
    </row>
    <row r="110" spans="1:14" x14ac:dyDescent="0.25">
      <c r="A110" s="6" t="str">
        <f>Raw_Data[[#This Row],[ID zamów. (Order ID)]]</f>
        <v>ORD0109</v>
      </c>
      <c r="B110" s="6" t="str">
        <f>Raw_Data[[#This Row],[ID klienta (Client ID)]]</f>
        <v>CUST1956</v>
      </c>
      <c r="C110" s="6" t="str">
        <f>_xlfn.XLOOKUP(Raw_Data[[#This Row],[Produkt (Product)]],'Product lookup table'!$A$2:$A$20,'Product lookup table'!$B$2:$B$20)</f>
        <v>Outdoor</v>
      </c>
      <c r="D110" s="6" t="str">
        <f>Raw_Data[[#This Row],[Produkt (Product)]]</f>
        <v>Śpiwór</v>
      </c>
      <c r="E110" s="6" t="str">
        <f>Raw_Data[[#This Row],[Kanał sprzedaży (Marketplace)]]</f>
        <v>Amazon</v>
      </c>
      <c r="F110" s="6" t="str">
        <f>Raw_Data[[#This Row],[Miasto (City)]]</f>
        <v>Warszawa</v>
      </c>
      <c r="G110" s="6">
        <f>Raw_Data[[#This Row],[Ilość (Quant.)]]</f>
        <v>2</v>
      </c>
      <c r="H110" s="7">
        <f>Raw_Data[[#This Row],[Przychód brutto (Revenue)]]</f>
        <v>938.70771428571436</v>
      </c>
      <c r="I11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286.06278857142865</v>
      </c>
      <c r="J110" s="23">
        <f>Processed_data[[#This Row],[Zysk brutto
(Gross profit)]]/Processed_data[[#This Row],[Przychód brutto (Revenue)]]</f>
        <v>0.30474106499604176</v>
      </c>
      <c r="K110" t="str">
        <f>IF(Processed_data[[#This Row],[Marża (Margin)]]&gt;0.6,"wysoka",IF(Processed_data[[#This Row],[Marża (Margin)]]&gt;0.3,"średnia","niska"))</f>
        <v>średnia</v>
      </c>
      <c r="L110">
        <f>MONTH(Raw_Data[[#This Row],[Data zamów. (Order date)]])</f>
        <v>1</v>
      </c>
      <c r="M110" t="str">
        <f>TEXT(Raw_Data[[#This Row],[Data zamów. (Order date)]], "MMMM")</f>
        <v>styczeń</v>
      </c>
      <c r="N110">
        <f>IF(Processed_data[[#This Row],[Miesiąc (Month)]]&lt;=3,1,IF(Processed_data[[#This Row],[Miesiąc (Month)]]&lt;=6,2,IF(Processed_data[[#This Row],[Miesiąc (Month)]]&lt;=9,3,4)))</f>
        <v>1</v>
      </c>
    </row>
    <row r="111" spans="1:14" x14ac:dyDescent="0.25">
      <c r="A111" s="6" t="str">
        <f>Raw_Data[[#This Row],[ID zamów. (Order ID)]]</f>
        <v>ORD0110</v>
      </c>
      <c r="B111" s="6" t="str">
        <f>Raw_Data[[#This Row],[ID klienta (Client ID)]]</f>
        <v>CUST1956</v>
      </c>
      <c r="C111" s="6" t="str">
        <f>_xlfn.XLOOKUP(Raw_Data[[#This Row],[Produkt (Product)]],'Product lookup table'!$A$2:$A$20,'Product lookup table'!$B$2:$B$20)</f>
        <v>Outdoor</v>
      </c>
      <c r="D111" s="6" t="str">
        <f>Raw_Data[[#This Row],[Produkt (Product)]]</f>
        <v>Latarka</v>
      </c>
      <c r="E111" s="6" t="str">
        <f>Raw_Data[[#This Row],[Kanał sprzedaży (Marketplace)]]</f>
        <v>Shopify</v>
      </c>
      <c r="F111" s="6" t="str">
        <f>Raw_Data[[#This Row],[Miasto (City)]]</f>
        <v>Warszawa</v>
      </c>
      <c r="G111" s="6">
        <f>Raw_Data[[#This Row],[Ilość (Quant.)]]</f>
        <v>5</v>
      </c>
      <c r="H111" s="7">
        <f>Raw_Data[[#This Row],[Przychód brutto (Revenue)]]</f>
        <v>261.20250000000004</v>
      </c>
      <c r="I11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121.20250000000004</v>
      </c>
      <c r="J111" s="23">
        <f>Processed_data[[#This Row],[Zysk brutto
(Gross profit)]]/Processed_data[[#This Row],[Przychód brutto (Revenue)]]</f>
        <v>0.4640173811506399</v>
      </c>
      <c r="K111" t="str">
        <f>IF(Processed_data[[#This Row],[Marża (Margin)]]&gt;0.6,"wysoka",IF(Processed_data[[#This Row],[Marża (Margin)]]&gt;0.3,"średnia","niska"))</f>
        <v>średnia</v>
      </c>
      <c r="L111">
        <f>MONTH(Raw_Data[[#This Row],[Data zamów. (Order date)]])</f>
        <v>1</v>
      </c>
      <c r="M111" t="str">
        <f>TEXT(Raw_Data[[#This Row],[Data zamów. (Order date)]], "MMMM")</f>
        <v>styczeń</v>
      </c>
      <c r="N111">
        <f>IF(Processed_data[[#This Row],[Miesiąc (Month)]]&lt;=3,1,IF(Processed_data[[#This Row],[Miesiąc (Month)]]&lt;=6,2,IF(Processed_data[[#This Row],[Miesiąc (Month)]]&lt;=9,3,4)))</f>
        <v>1</v>
      </c>
    </row>
    <row r="112" spans="1:14" x14ac:dyDescent="0.25">
      <c r="A112" s="6" t="str">
        <f>Raw_Data[[#This Row],[ID zamów. (Order ID)]]</f>
        <v>ORD0111</v>
      </c>
      <c r="B112" s="6" t="str">
        <f>Raw_Data[[#This Row],[ID klienta (Client ID)]]</f>
        <v>CUST1956</v>
      </c>
      <c r="C112" s="6" t="str">
        <f>_xlfn.XLOOKUP(Raw_Data[[#This Row],[Produkt (Product)]],'Product lookup table'!$A$2:$A$20,'Product lookup table'!$B$2:$B$20)</f>
        <v>Home</v>
      </c>
      <c r="D112" s="6" t="str">
        <f>Raw_Data[[#This Row],[Produkt (Product)]]</f>
        <v>Świeca zapachowa</v>
      </c>
      <c r="E112" s="6" t="str">
        <f>Raw_Data[[#This Row],[Kanał sprzedaży (Marketplace)]]</f>
        <v>Empik Marketplace</v>
      </c>
      <c r="F112" s="6" t="str">
        <f>Raw_Data[[#This Row],[Miasto (City)]]</f>
        <v>Warszawa</v>
      </c>
      <c r="G112" s="6">
        <f>Raw_Data[[#This Row],[Ilość (Quant.)]]</f>
        <v>4</v>
      </c>
      <c r="H112" s="7">
        <f>Raw_Data[[#This Row],[Przychód brutto (Revenue)]]</f>
        <v>153.62018181818183</v>
      </c>
      <c r="I11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58.258163636363648</v>
      </c>
      <c r="J112" s="23">
        <f>Processed_data[[#This Row],[Zysk brutto
(Gross profit)]]/Processed_data[[#This Row],[Przychód brutto (Revenue)]]</f>
        <v>0.37923509103325681</v>
      </c>
      <c r="K112" t="str">
        <f>IF(Processed_data[[#This Row],[Marża (Margin)]]&gt;0.6,"wysoka",IF(Processed_data[[#This Row],[Marża (Margin)]]&gt;0.3,"średnia","niska"))</f>
        <v>średnia</v>
      </c>
      <c r="L112">
        <f>MONTH(Raw_Data[[#This Row],[Data zamów. (Order date)]])</f>
        <v>5</v>
      </c>
      <c r="M112" t="str">
        <f>TEXT(Raw_Data[[#This Row],[Data zamów. (Order date)]], "MMMM")</f>
        <v>maj</v>
      </c>
      <c r="N112">
        <f>IF(Processed_data[[#This Row],[Miesiąc (Month)]]&lt;=3,1,IF(Processed_data[[#This Row],[Miesiąc (Month)]]&lt;=6,2,IF(Processed_data[[#This Row],[Miesiąc (Month)]]&lt;=9,3,4)))</f>
        <v>2</v>
      </c>
    </row>
    <row r="113" spans="1:14" x14ac:dyDescent="0.25">
      <c r="A113" s="6" t="str">
        <f>Raw_Data[[#This Row],[ID zamów. (Order ID)]]</f>
        <v>ORD0112</v>
      </c>
      <c r="B113" s="6" t="str">
        <f>Raw_Data[[#This Row],[ID klienta (Client ID)]]</f>
        <v>CUST4269</v>
      </c>
      <c r="C113" s="6" t="str">
        <f>_xlfn.XLOOKUP(Raw_Data[[#This Row],[Produkt (Product)]],'Product lookup table'!$A$2:$A$20,'Product lookup table'!$B$2:$B$20)</f>
        <v>Kosmetyki</v>
      </c>
      <c r="D113" s="6" t="str">
        <f>Raw_Data[[#This Row],[Produkt (Product)]]</f>
        <v>Szampon</v>
      </c>
      <c r="E113" s="6" t="str">
        <f>Raw_Data[[#This Row],[Kanał sprzedaży (Marketplace)]]</f>
        <v>Amazon</v>
      </c>
      <c r="F113" s="6" t="str">
        <f>Raw_Data[[#This Row],[Miasto (City)]]</f>
        <v>Poznań</v>
      </c>
      <c r="G113" s="6">
        <f>Raw_Data[[#This Row],[Ilość (Quant.)]]</f>
        <v>2</v>
      </c>
      <c r="H113" s="7">
        <f>Raw_Data[[#This Row],[Przychód brutto (Revenue)]]</f>
        <v>17.474111111111114</v>
      </c>
      <c r="I11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8.3772177777777799</v>
      </c>
      <c r="J113" s="23">
        <f>Processed_data[[#This Row],[Zysk brutto
(Gross profit)]]/Processed_data[[#This Row],[Przychód brutto (Revenue)]]</f>
        <v>0.47940737726287147</v>
      </c>
      <c r="K113" t="str">
        <f>IF(Processed_data[[#This Row],[Marża (Margin)]]&gt;0.6,"wysoka",IF(Processed_data[[#This Row],[Marża (Margin)]]&gt;0.3,"średnia","niska"))</f>
        <v>średnia</v>
      </c>
      <c r="L113">
        <f>MONTH(Raw_Data[[#This Row],[Data zamów. (Order date)]])</f>
        <v>10</v>
      </c>
      <c r="M113" t="str">
        <f>TEXT(Raw_Data[[#This Row],[Data zamów. (Order date)]], "MMMM")</f>
        <v>październik</v>
      </c>
      <c r="N113">
        <f>IF(Processed_data[[#This Row],[Miesiąc (Month)]]&lt;=3,1,IF(Processed_data[[#This Row],[Miesiąc (Month)]]&lt;=6,2,IF(Processed_data[[#This Row],[Miesiąc (Month)]]&lt;=9,3,4)))</f>
        <v>4</v>
      </c>
    </row>
    <row r="114" spans="1:14" x14ac:dyDescent="0.25">
      <c r="A114" s="6" t="str">
        <f>Raw_Data[[#This Row],[ID zamów. (Order ID)]]</f>
        <v>ORD0113</v>
      </c>
      <c r="B114" s="6" t="str">
        <f>Raw_Data[[#This Row],[ID klienta (Client ID)]]</f>
        <v>CUST5218</v>
      </c>
      <c r="C114" s="6" t="str">
        <f>_xlfn.XLOOKUP(Raw_Data[[#This Row],[Produkt (Product)]],'Product lookup table'!$A$2:$A$20,'Product lookup table'!$B$2:$B$20)</f>
        <v>Kosmetyki</v>
      </c>
      <c r="D114" s="6" t="str">
        <f>Raw_Data[[#This Row],[Produkt (Product)]]</f>
        <v>Serum</v>
      </c>
      <c r="E114" s="6" t="str">
        <f>Raw_Data[[#This Row],[Kanał sprzedaży (Marketplace)]]</f>
        <v>Shopify</v>
      </c>
      <c r="F114" s="6" t="str">
        <f>Raw_Data[[#This Row],[Miasto (City)]]</f>
        <v>Kraków</v>
      </c>
      <c r="G114" s="6">
        <f>Raw_Data[[#This Row],[Ilość (Quant.)]]</f>
        <v>4</v>
      </c>
      <c r="H114" s="7">
        <f>Raw_Data[[#This Row],[Przychód brutto (Revenue)]]</f>
        <v>280.63600000000002</v>
      </c>
      <c r="I11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160.63600000000002</v>
      </c>
      <c r="J114" s="23">
        <f>Processed_data[[#This Row],[Zysk brutto
(Gross profit)]]/Processed_data[[#This Row],[Przychód brutto (Revenue)]]</f>
        <v>0.57239983466126942</v>
      </c>
      <c r="K114" t="str">
        <f>IF(Processed_data[[#This Row],[Marża (Margin)]]&gt;0.6,"wysoka",IF(Processed_data[[#This Row],[Marża (Margin)]]&gt;0.3,"średnia","niska"))</f>
        <v>średnia</v>
      </c>
      <c r="L114">
        <f>MONTH(Raw_Data[[#This Row],[Data zamów. (Order date)]])</f>
        <v>3</v>
      </c>
      <c r="M114" t="str">
        <f>TEXT(Raw_Data[[#This Row],[Data zamów. (Order date)]], "MMMM")</f>
        <v>marzec</v>
      </c>
      <c r="N114">
        <f>IF(Processed_data[[#This Row],[Miesiąc (Month)]]&lt;=3,1,IF(Processed_data[[#This Row],[Miesiąc (Month)]]&lt;=6,2,IF(Processed_data[[#This Row],[Miesiąc (Month)]]&lt;=9,3,4)))</f>
        <v>1</v>
      </c>
    </row>
    <row r="115" spans="1:14" x14ac:dyDescent="0.25">
      <c r="A115" s="6" t="str">
        <f>Raw_Data[[#This Row],[ID zamów. (Order ID)]]</f>
        <v>ORD0114</v>
      </c>
      <c r="B115" s="6" t="str">
        <f>Raw_Data[[#This Row],[ID klienta (Client ID)]]</f>
        <v>CUST1956</v>
      </c>
      <c r="C115" s="6" t="str">
        <f>_xlfn.XLOOKUP(Raw_Data[[#This Row],[Produkt (Product)]],'Product lookup table'!$A$2:$A$20,'Product lookup table'!$B$2:$B$20)</f>
        <v>Outdoor</v>
      </c>
      <c r="D115" s="6" t="str">
        <f>Raw_Data[[#This Row],[Produkt (Product)]]</f>
        <v>Bidon</v>
      </c>
      <c r="E115" s="6" t="str">
        <f>Raw_Data[[#This Row],[Kanał sprzedaży (Marketplace)]]</f>
        <v>Empik Marketplace</v>
      </c>
      <c r="F115" s="6" t="str">
        <f>Raw_Data[[#This Row],[Miasto (City)]]</f>
        <v>Warszawa</v>
      </c>
      <c r="G115" s="6">
        <f>Raw_Data[[#This Row],[Ilość (Quant.)]]</f>
        <v>4</v>
      </c>
      <c r="H115" s="7">
        <f>Raw_Data[[#This Row],[Przychód brutto (Revenue)]]</f>
        <v>102.50028571428571</v>
      </c>
      <c r="I11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32.250257142857137</v>
      </c>
      <c r="J115" s="23">
        <f>Processed_data[[#This Row],[Zysk brutto
(Gross profit)]]/Processed_data[[#This Row],[Przychód brutto (Revenue)]]</f>
        <v>0.31463577801873721</v>
      </c>
      <c r="K115" t="str">
        <f>IF(Processed_data[[#This Row],[Marża (Margin)]]&gt;0.6,"wysoka",IF(Processed_data[[#This Row],[Marża (Margin)]]&gt;0.3,"średnia","niska"))</f>
        <v>średnia</v>
      </c>
      <c r="L115">
        <f>MONTH(Raw_Data[[#This Row],[Data zamów. (Order date)]])</f>
        <v>2</v>
      </c>
      <c r="M115" t="str">
        <f>TEXT(Raw_Data[[#This Row],[Data zamów. (Order date)]], "MMMM")</f>
        <v>luty</v>
      </c>
      <c r="N115">
        <f>IF(Processed_data[[#This Row],[Miesiąc (Month)]]&lt;=3,1,IF(Processed_data[[#This Row],[Miesiąc (Month)]]&lt;=6,2,IF(Processed_data[[#This Row],[Miesiąc (Month)]]&lt;=9,3,4)))</f>
        <v>1</v>
      </c>
    </row>
    <row r="116" spans="1:14" x14ac:dyDescent="0.25">
      <c r="A116" s="6" t="str">
        <f>Raw_Data[[#This Row],[ID zamów. (Order ID)]]</f>
        <v>ORD0115</v>
      </c>
      <c r="B116" s="6" t="str">
        <f>Raw_Data[[#This Row],[ID klienta (Client ID)]]</f>
        <v>CUST4001</v>
      </c>
      <c r="C116" s="6" t="str">
        <f>_xlfn.XLOOKUP(Raw_Data[[#This Row],[Produkt (Product)]],'Product lookup table'!$A$2:$A$20,'Product lookup table'!$B$2:$B$20)</f>
        <v>Kosmetyki</v>
      </c>
      <c r="D116" s="6" t="str">
        <f>Raw_Data[[#This Row],[Produkt (Product)]]</f>
        <v>Paleta cieni</v>
      </c>
      <c r="E116" s="6" t="str">
        <f>Raw_Data[[#This Row],[Kanał sprzedaży (Marketplace)]]</f>
        <v>Allegro</v>
      </c>
      <c r="F116" s="6" t="str">
        <f>Raw_Data[[#This Row],[Miasto (City)]]</f>
        <v>Poznań</v>
      </c>
      <c r="G116" s="6">
        <f>Raw_Data[[#This Row],[Ilość (Quant.)]]</f>
        <v>2</v>
      </c>
      <c r="H116" s="7">
        <f>Raw_Data[[#This Row],[Przychód brutto (Revenue)]]</f>
        <v>242.85777777777776</v>
      </c>
      <c r="I11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143.42915555555552</v>
      </c>
      <c r="J116" s="23">
        <f>Processed_data[[#This Row],[Zysk brutto
(Gross profit)]]/Processed_data[[#This Row],[Przychód brutto (Revenue)]]</f>
        <v>0.59058909649909408</v>
      </c>
      <c r="K116" t="str">
        <f>IF(Processed_data[[#This Row],[Marża (Margin)]]&gt;0.6,"wysoka",IF(Processed_data[[#This Row],[Marża (Margin)]]&gt;0.3,"średnia","niska"))</f>
        <v>średnia</v>
      </c>
      <c r="L116">
        <f>MONTH(Raw_Data[[#This Row],[Data zamów. (Order date)]])</f>
        <v>6</v>
      </c>
      <c r="M116" t="str">
        <f>TEXT(Raw_Data[[#This Row],[Data zamów. (Order date)]], "MMMM")</f>
        <v>czerwiec</v>
      </c>
      <c r="N116">
        <f>IF(Processed_data[[#This Row],[Miesiąc (Month)]]&lt;=3,1,IF(Processed_data[[#This Row],[Miesiąc (Month)]]&lt;=6,2,IF(Processed_data[[#This Row],[Miesiąc (Month)]]&lt;=9,3,4)))</f>
        <v>2</v>
      </c>
    </row>
    <row r="117" spans="1:14" x14ac:dyDescent="0.25">
      <c r="A117" s="6" t="str">
        <f>Raw_Data[[#This Row],[ID zamów. (Order ID)]]</f>
        <v>ORD0116</v>
      </c>
      <c r="B117" s="6" t="str">
        <f>Raw_Data[[#This Row],[ID klienta (Client ID)]]</f>
        <v>CUST4001</v>
      </c>
      <c r="C117" s="6" t="str">
        <f>_xlfn.XLOOKUP(Raw_Data[[#This Row],[Produkt (Product)]],'Product lookup table'!$A$2:$A$20,'Product lookup table'!$B$2:$B$20)</f>
        <v>Kosmetyki</v>
      </c>
      <c r="D117" s="6" t="str">
        <f>Raw_Data[[#This Row],[Produkt (Product)]]</f>
        <v>Paleta cieni</v>
      </c>
      <c r="E117" s="6" t="str">
        <f>Raw_Data[[#This Row],[Kanał sprzedaży (Marketplace)]]</f>
        <v>Allegro</v>
      </c>
      <c r="F117" s="6" t="str">
        <f>Raw_Data[[#This Row],[Miasto (City)]]</f>
        <v>Poznań</v>
      </c>
      <c r="G117" s="6">
        <f>Raw_Data[[#This Row],[Ilość (Quant.)]]</f>
        <v>4</v>
      </c>
      <c r="H117" s="7">
        <f>Raw_Data[[#This Row],[Przychód brutto (Revenue)]]</f>
        <v>264.80222222222221</v>
      </c>
      <c r="I11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83.618044444444436</v>
      </c>
      <c r="J117" s="23">
        <f>Processed_data[[#This Row],[Zysk brutto
(Gross profit)]]/Processed_data[[#This Row],[Przychód brutto (Revenue)]]</f>
        <v>0.31577546344861152</v>
      </c>
      <c r="K117" t="str">
        <f>IF(Processed_data[[#This Row],[Marża (Margin)]]&gt;0.6,"wysoka",IF(Processed_data[[#This Row],[Marża (Margin)]]&gt;0.3,"średnia","niska"))</f>
        <v>średnia</v>
      </c>
      <c r="L117">
        <f>MONTH(Raw_Data[[#This Row],[Data zamów. (Order date)]])</f>
        <v>8</v>
      </c>
      <c r="M117" t="str">
        <f>TEXT(Raw_Data[[#This Row],[Data zamów. (Order date)]], "MMMM")</f>
        <v>sierpień</v>
      </c>
      <c r="N117">
        <f>IF(Processed_data[[#This Row],[Miesiąc (Month)]]&lt;=3,1,IF(Processed_data[[#This Row],[Miesiąc (Month)]]&lt;=6,2,IF(Processed_data[[#This Row],[Miesiąc (Month)]]&lt;=9,3,4)))</f>
        <v>3</v>
      </c>
    </row>
    <row r="118" spans="1:14" x14ac:dyDescent="0.25">
      <c r="A118" s="6" t="str">
        <f>Raw_Data[[#This Row],[ID zamów. (Order ID)]]</f>
        <v>ORD0117</v>
      </c>
      <c r="B118" s="6" t="str">
        <f>Raw_Data[[#This Row],[ID klienta (Client ID)]]</f>
        <v>CUST7722</v>
      </c>
      <c r="C118" s="6" t="str">
        <f>_xlfn.XLOOKUP(Raw_Data[[#This Row],[Produkt (Product)]],'Product lookup table'!$A$2:$A$20,'Product lookup table'!$B$2:$B$20)</f>
        <v>Elektronika</v>
      </c>
      <c r="D118" s="6" t="str">
        <f>Raw_Data[[#This Row],[Produkt (Product)]]</f>
        <v>Głośnik</v>
      </c>
      <c r="E118" s="6" t="str">
        <f>Raw_Data[[#This Row],[Kanał sprzedaży (Marketplace)]]</f>
        <v>Empik Marketplace</v>
      </c>
      <c r="F118" s="6" t="str">
        <f>Raw_Data[[#This Row],[Miasto (City)]]</f>
        <v>Kraków</v>
      </c>
      <c r="G118" s="6">
        <f>Raw_Data[[#This Row],[Ilość (Quant.)]]</f>
        <v>1</v>
      </c>
      <c r="H118" s="7">
        <f>Raw_Data[[#This Row],[Przychód brutto (Revenue)]]</f>
        <v>184.2401086956522</v>
      </c>
      <c r="I11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35.816097826086974</v>
      </c>
      <c r="J118" s="23">
        <f>Processed_data[[#This Row],[Zysk brutto
(Gross profit)]]/Processed_data[[#This Row],[Przychód brutto (Revenue)]]</f>
        <v>0.19439902678982832</v>
      </c>
      <c r="K118" t="str">
        <f>IF(Processed_data[[#This Row],[Marża (Margin)]]&gt;0.6,"wysoka",IF(Processed_data[[#This Row],[Marża (Margin)]]&gt;0.3,"średnia","niska"))</f>
        <v>niska</v>
      </c>
      <c r="L118">
        <f>MONTH(Raw_Data[[#This Row],[Data zamów. (Order date)]])</f>
        <v>11</v>
      </c>
      <c r="M118" t="str">
        <f>TEXT(Raw_Data[[#This Row],[Data zamów. (Order date)]], "MMMM")</f>
        <v>listopad</v>
      </c>
      <c r="N118">
        <f>IF(Processed_data[[#This Row],[Miesiąc (Month)]]&lt;=3,1,IF(Processed_data[[#This Row],[Miesiąc (Month)]]&lt;=6,2,IF(Processed_data[[#This Row],[Miesiąc (Month)]]&lt;=9,3,4)))</f>
        <v>4</v>
      </c>
    </row>
    <row r="119" spans="1:14" x14ac:dyDescent="0.25">
      <c r="A119" s="6" t="str">
        <f>Raw_Data[[#This Row],[ID zamów. (Order ID)]]</f>
        <v>ORD0118</v>
      </c>
      <c r="B119" s="6" t="str">
        <f>Raw_Data[[#This Row],[ID klienta (Client ID)]]</f>
        <v>CUST7722</v>
      </c>
      <c r="C119" s="6" t="str">
        <f>_xlfn.XLOOKUP(Raw_Data[[#This Row],[Produkt (Product)]],'Product lookup table'!$A$2:$A$20,'Product lookup table'!$B$2:$B$20)</f>
        <v>Elektronika</v>
      </c>
      <c r="D119" s="6" t="str">
        <f>Raw_Data[[#This Row],[Produkt (Product)]]</f>
        <v>Klawiatura</v>
      </c>
      <c r="E119" s="6" t="str">
        <f>Raw_Data[[#This Row],[Kanał sprzedaży (Marketplace)]]</f>
        <v>Empik Marketplace</v>
      </c>
      <c r="F119" s="6" t="str">
        <f>Raw_Data[[#This Row],[Miasto (City)]]</f>
        <v>Kraków</v>
      </c>
      <c r="G119" s="6">
        <f>Raw_Data[[#This Row],[Ilość (Quant.)]]</f>
        <v>5</v>
      </c>
      <c r="H119" s="7">
        <f>Raw_Data[[#This Row],[Przychód brutto (Revenue)]]</f>
        <v>617.51086956521738</v>
      </c>
      <c r="I11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5.7597826086956374</v>
      </c>
      <c r="J119" s="23">
        <f>Processed_data[[#This Row],[Zysk brutto
(Gross profit)]]/Processed_data[[#This Row],[Przychód brutto (Revenue)]]</f>
        <v>9.3274189857597764E-3</v>
      </c>
      <c r="K119" t="str">
        <f>IF(Processed_data[[#This Row],[Marża (Margin)]]&gt;0.6,"wysoka",IF(Processed_data[[#This Row],[Marża (Margin)]]&gt;0.3,"średnia","niska"))</f>
        <v>niska</v>
      </c>
      <c r="L119">
        <f>MONTH(Raw_Data[[#This Row],[Data zamów. (Order date)]])</f>
        <v>9</v>
      </c>
      <c r="M119" t="str">
        <f>TEXT(Raw_Data[[#This Row],[Data zamów. (Order date)]], "MMMM")</f>
        <v>wrzesień</v>
      </c>
      <c r="N119">
        <f>IF(Processed_data[[#This Row],[Miesiąc (Month)]]&lt;=3,1,IF(Processed_data[[#This Row],[Miesiąc (Month)]]&lt;=6,2,IF(Processed_data[[#This Row],[Miesiąc (Month)]]&lt;=9,3,4)))</f>
        <v>3</v>
      </c>
    </row>
    <row r="120" spans="1:14" x14ac:dyDescent="0.25">
      <c r="A120" s="6" t="str">
        <f>Raw_Data[[#This Row],[ID zamów. (Order ID)]]</f>
        <v>ORD0119</v>
      </c>
      <c r="B120" s="6" t="str">
        <f>Raw_Data[[#This Row],[ID klienta (Client ID)]]</f>
        <v>CUST7722</v>
      </c>
      <c r="C120" s="6" t="str">
        <f>_xlfn.XLOOKUP(Raw_Data[[#This Row],[Produkt (Product)]],'Product lookup table'!$A$2:$A$20,'Product lookup table'!$B$2:$B$20)</f>
        <v>Kosmetyki</v>
      </c>
      <c r="D120" s="6" t="str">
        <f>Raw_Data[[#This Row],[Produkt (Product)]]</f>
        <v>Olejek</v>
      </c>
      <c r="E120" s="6" t="str">
        <f>Raw_Data[[#This Row],[Kanał sprzedaży (Marketplace)]]</f>
        <v>Empik Marketplace</v>
      </c>
      <c r="F120" s="6" t="str">
        <f>Raw_Data[[#This Row],[Miasto (City)]]</f>
        <v>Kraków</v>
      </c>
      <c r="G120" s="6">
        <f>Raw_Data[[#This Row],[Ilość (Quant.)]]</f>
        <v>4</v>
      </c>
      <c r="H120" s="7">
        <f>Raw_Data[[#This Row],[Przychód brutto (Revenue)]]</f>
        <v>55.643999999999998</v>
      </c>
      <c r="I12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30.079599999999999</v>
      </c>
      <c r="J120" s="23">
        <f>Processed_data[[#This Row],[Zysk brutto
(Gross profit)]]/Processed_data[[#This Row],[Przychód brutto (Revenue)]]</f>
        <v>0.54057220904320324</v>
      </c>
      <c r="K120" t="str">
        <f>IF(Processed_data[[#This Row],[Marża (Margin)]]&gt;0.6,"wysoka",IF(Processed_data[[#This Row],[Marża (Margin)]]&gt;0.3,"średnia","niska"))</f>
        <v>średnia</v>
      </c>
      <c r="L120">
        <f>MONTH(Raw_Data[[#This Row],[Data zamów. (Order date)]])</f>
        <v>7</v>
      </c>
      <c r="M120" t="str">
        <f>TEXT(Raw_Data[[#This Row],[Data zamów. (Order date)]], "MMMM")</f>
        <v>lipiec</v>
      </c>
      <c r="N120">
        <f>IF(Processed_data[[#This Row],[Miesiąc (Month)]]&lt;=3,1,IF(Processed_data[[#This Row],[Miesiąc (Month)]]&lt;=6,2,IF(Processed_data[[#This Row],[Miesiąc (Month)]]&lt;=9,3,4)))</f>
        <v>3</v>
      </c>
    </row>
    <row r="121" spans="1:14" x14ac:dyDescent="0.25">
      <c r="A121" s="6" t="str">
        <f>Raw_Data[[#This Row],[ID zamów. (Order ID)]]</f>
        <v>ORD0120</v>
      </c>
      <c r="B121" s="6" t="str">
        <f>Raw_Data[[#This Row],[ID klienta (Client ID)]]</f>
        <v>CUST7722</v>
      </c>
      <c r="C121" s="6" t="str">
        <f>_xlfn.XLOOKUP(Raw_Data[[#This Row],[Produkt (Product)]],'Product lookup table'!$A$2:$A$20,'Product lookup table'!$B$2:$B$20)</f>
        <v>Kosmetyki</v>
      </c>
      <c r="D121" s="6" t="str">
        <f>Raw_Data[[#This Row],[Produkt (Product)]]</f>
        <v>Żel pod prysznic</v>
      </c>
      <c r="E121" s="6" t="str">
        <f>Raw_Data[[#This Row],[Kanał sprzedaży (Marketplace)]]</f>
        <v>Allegro</v>
      </c>
      <c r="F121" s="6" t="str">
        <f>Raw_Data[[#This Row],[Miasto (City)]]</f>
        <v>Kraków</v>
      </c>
      <c r="G121" s="6">
        <f>Raw_Data[[#This Row],[Ilość (Quant.)]]</f>
        <v>4</v>
      </c>
      <c r="H121" s="7">
        <f>Raw_Data[[#This Row],[Przychód brutto (Revenue)]]</f>
        <v>26.139777777777777</v>
      </c>
      <c r="I12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14.048595555555554</v>
      </c>
      <c r="J121" s="23">
        <f>Processed_data[[#This Row],[Zysk brutto
(Gross profit)]]/Processed_data[[#This Row],[Przychód brutto (Revenue)]]</f>
        <v>0.53744127723605573</v>
      </c>
      <c r="K121" t="str">
        <f>IF(Processed_data[[#This Row],[Marża (Margin)]]&gt;0.6,"wysoka",IF(Processed_data[[#This Row],[Marża (Margin)]]&gt;0.3,"średnia","niska"))</f>
        <v>średnia</v>
      </c>
      <c r="L121">
        <f>MONTH(Raw_Data[[#This Row],[Data zamów. (Order date)]])</f>
        <v>7</v>
      </c>
      <c r="M121" t="str">
        <f>TEXT(Raw_Data[[#This Row],[Data zamów. (Order date)]], "MMMM")</f>
        <v>lipiec</v>
      </c>
      <c r="N121">
        <f>IF(Processed_data[[#This Row],[Miesiąc (Month)]]&lt;=3,1,IF(Processed_data[[#This Row],[Miesiąc (Month)]]&lt;=6,2,IF(Processed_data[[#This Row],[Miesiąc (Month)]]&lt;=9,3,4)))</f>
        <v>3</v>
      </c>
    </row>
    <row r="122" spans="1:14" x14ac:dyDescent="0.25">
      <c r="A122" s="6" t="str">
        <f>Raw_Data[[#This Row],[ID zamów. (Order ID)]]</f>
        <v>ORD0121</v>
      </c>
      <c r="B122" s="6" t="str">
        <f>Raw_Data[[#This Row],[ID klienta (Client ID)]]</f>
        <v>CUST7722</v>
      </c>
      <c r="C122" s="6" t="str">
        <f>_xlfn.XLOOKUP(Raw_Data[[#This Row],[Produkt (Product)]],'Product lookup table'!$A$2:$A$20,'Product lookup table'!$B$2:$B$20)</f>
        <v>Kosmetyki</v>
      </c>
      <c r="D122" s="6" t="str">
        <f>Raw_Data[[#This Row],[Produkt (Product)]]</f>
        <v>Olejek</v>
      </c>
      <c r="E122" s="6" t="str">
        <f>Raw_Data[[#This Row],[Kanał sprzedaży (Marketplace)]]</f>
        <v>Allegro</v>
      </c>
      <c r="F122" s="6" t="str">
        <f>Raw_Data[[#This Row],[Miasto (City)]]</f>
        <v>Kraków</v>
      </c>
      <c r="G122" s="6">
        <f>Raw_Data[[#This Row],[Ilość (Quant.)]]</f>
        <v>5</v>
      </c>
      <c r="H122" s="7">
        <f>Raw_Data[[#This Row],[Przychód brutto (Revenue)]]</f>
        <v>65.572777777777773</v>
      </c>
      <c r="I12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35.32695555555555</v>
      </c>
      <c r="J122" s="23">
        <f>Processed_data[[#This Row],[Zysk brutto
(Gross profit)]]/Processed_data[[#This Row],[Przychód brutto (Revenue)]]</f>
        <v>0.53874422821123258</v>
      </c>
      <c r="K122" t="str">
        <f>IF(Processed_data[[#This Row],[Marża (Margin)]]&gt;0.6,"wysoka",IF(Processed_data[[#This Row],[Marża (Margin)]]&gt;0.3,"średnia","niska"))</f>
        <v>średnia</v>
      </c>
      <c r="L122">
        <f>MONTH(Raw_Data[[#This Row],[Data zamów. (Order date)]])</f>
        <v>1</v>
      </c>
      <c r="M122" t="str">
        <f>TEXT(Raw_Data[[#This Row],[Data zamów. (Order date)]], "MMMM")</f>
        <v>styczeń</v>
      </c>
      <c r="N122">
        <f>IF(Processed_data[[#This Row],[Miesiąc (Month)]]&lt;=3,1,IF(Processed_data[[#This Row],[Miesiąc (Month)]]&lt;=6,2,IF(Processed_data[[#This Row],[Miesiąc (Month)]]&lt;=9,3,4)))</f>
        <v>1</v>
      </c>
    </row>
    <row r="123" spans="1:14" x14ac:dyDescent="0.25">
      <c r="A123" s="6" t="str">
        <f>Raw_Data[[#This Row],[ID zamów. (Order ID)]]</f>
        <v>ORD0122</v>
      </c>
      <c r="B123" s="6" t="str">
        <f>Raw_Data[[#This Row],[ID klienta (Client ID)]]</f>
        <v>CUST7722</v>
      </c>
      <c r="C123" s="6" t="str">
        <f>_xlfn.XLOOKUP(Raw_Data[[#This Row],[Produkt (Product)]],'Product lookup table'!$A$2:$A$20,'Product lookup table'!$B$2:$B$20)</f>
        <v>Elektronika</v>
      </c>
      <c r="D123" s="6" t="str">
        <f>Raw_Data[[#This Row],[Produkt (Product)]]</f>
        <v>Powerbank</v>
      </c>
      <c r="E123" s="6" t="str">
        <f>Raw_Data[[#This Row],[Kanał sprzedaży (Marketplace)]]</f>
        <v>Amazon</v>
      </c>
      <c r="F123" s="6" t="str">
        <f>Raw_Data[[#This Row],[Miasto (City)]]</f>
        <v>Kraków</v>
      </c>
      <c r="G123" s="6">
        <f>Raw_Data[[#This Row],[Ilość (Quant.)]]</f>
        <v>4</v>
      </c>
      <c r="H123" s="7">
        <f>Raw_Data[[#This Row],[Przychód brutto (Revenue)]]</f>
        <v>468.24695652173921</v>
      </c>
      <c r="I12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92.057321739130515</v>
      </c>
      <c r="J123" s="23">
        <f>Processed_data[[#This Row],[Zysk brutto
(Gross profit)]]/Processed_data[[#This Row],[Przychód brutto (Revenue)]]</f>
        <v>0.1965999361169507</v>
      </c>
      <c r="K123" t="str">
        <f>IF(Processed_data[[#This Row],[Marża (Margin)]]&gt;0.6,"wysoka",IF(Processed_data[[#This Row],[Marża (Margin)]]&gt;0.3,"średnia","niska"))</f>
        <v>niska</v>
      </c>
      <c r="L123">
        <f>MONTH(Raw_Data[[#This Row],[Data zamów. (Order date)]])</f>
        <v>11</v>
      </c>
      <c r="M123" t="str">
        <f>TEXT(Raw_Data[[#This Row],[Data zamów. (Order date)]], "MMMM")</f>
        <v>listopad</v>
      </c>
      <c r="N123">
        <f>IF(Processed_data[[#This Row],[Miesiąc (Month)]]&lt;=3,1,IF(Processed_data[[#This Row],[Miesiąc (Month)]]&lt;=6,2,IF(Processed_data[[#This Row],[Miesiąc (Month)]]&lt;=9,3,4)))</f>
        <v>4</v>
      </c>
    </row>
    <row r="124" spans="1:14" x14ac:dyDescent="0.25">
      <c r="A124" s="6" t="str">
        <f>Raw_Data[[#This Row],[ID zamów. (Order ID)]]</f>
        <v>ORD0123</v>
      </c>
      <c r="B124" s="6" t="str">
        <f>Raw_Data[[#This Row],[ID klienta (Client ID)]]</f>
        <v>CUST8225</v>
      </c>
      <c r="C124" s="6" t="str">
        <f>_xlfn.XLOOKUP(Raw_Data[[#This Row],[Produkt (Product)]],'Product lookup table'!$A$2:$A$20,'Product lookup table'!$B$2:$B$20)</f>
        <v>Elektronika</v>
      </c>
      <c r="D124" s="6" t="str">
        <f>Raw_Data[[#This Row],[Produkt (Product)]]</f>
        <v>Myszka</v>
      </c>
      <c r="E124" s="6" t="str">
        <f>Raw_Data[[#This Row],[Kanał sprzedaży (Marketplace)]]</f>
        <v>Empik Marketplace</v>
      </c>
      <c r="F124" s="6" t="str">
        <f>Raw_Data[[#This Row],[Miasto (City)]]</f>
        <v>Kraków</v>
      </c>
      <c r="G124" s="6">
        <f>Raw_Data[[#This Row],[Ilość (Quant.)]]</f>
        <v>5</v>
      </c>
      <c r="H124" s="7">
        <f>Raw_Data[[#This Row],[Przychód brutto (Revenue)]]</f>
        <v>421.17826086956529</v>
      </c>
      <c r="I12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29.060434782608759</v>
      </c>
      <c r="J124" s="23">
        <f>Processed_data[[#This Row],[Zysk brutto
(Gross profit)]]/Processed_data[[#This Row],[Przychód brutto (Revenue)]]</f>
        <v>6.8997945721629941E-2</v>
      </c>
      <c r="K124" t="str">
        <f>IF(Processed_data[[#This Row],[Marża (Margin)]]&gt;0.6,"wysoka",IF(Processed_data[[#This Row],[Marża (Margin)]]&gt;0.3,"średnia","niska"))</f>
        <v>niska</v>
      </c>
      <c r="L124">
        <f>MONTH(Raw_Data[[#This Row],[Data zamów. (Order date)]])</f>
        <v>3</v>
      </c>
      <c r="M124" t="str">
        <f>TEXT(Raw_Data[[#This Row],[Data zamów. (Order date)]], "MMMM")</f>
        <v>marzec</v>
      </c>
      <c r="N124">
        <f>IF(Processed_data[[#This Row],[Miesiąc (Month)]]&lt;=3,1,IF(Processed_data[[#This Row],[Miesiąc (Month)]]&lt;=6,2,IF(Processed_data[[#This Row],[Miesiąc (Month)]]&lt;=9,3,4)))</f>
        <v>1</v>
      </c>
    </row>
    <row r="125" spans="1:14" x14ac:dyDescent="0.25">
      <c r="A125" s="6" t="str">
        <f>Raw_Data[[#This Row],[ID zamów. (Order ID)]]</f>
        <v>ORD0124</v>
      </c>
      <c r="B125" s="6" t="str">
        <f>Raw_Data[[#This Row],[ID klienta (Client ID)]]</f>
        <v>CUST4269</v>
      </c>
      <c r="C125" s="6" t="str">
        <f>_xlfn.XLOOKUP(Raw_Data[[#This Row],[Produkt (Product)]],'Product lookup table'!$A$2:$A$20,'Product lookup table'!$B$2:$B$20)</f>
        <v>Kosmetyki</v>
      </c>
      <c r="D125" s="6" t="str">
        <f>Raw_Data[[#This Row],[Produkt (Product)]]</f>
        <v>Krem do twarzy</v>
      </c>
      <c r="E125" s="6" t="str">
        <f>Raw_Data[[#This Row],[Kanał sprzedaży (Marketplace)]]</f>
        <v>Empik Marketplace</v>
      </c>
      <c r="F125" s="6" t="str">
        <f>Raw_Data[[#This Row],[Miasto (City)]]</f>
        <v>Poznań</v>
      </c>
      <c r="G125" s="6">
        <f>Raw_Data[[#This Row],[Ilość (Quant.)]]</f>
        <v>5</v>
      </c>
      <c r="H125" s="7">
        <f>Raw_Data[[#This Row],[Przychód brutto (Revenue)]]</f>
        <v>267.20500000000004</v>
      </c>
      <c r="I12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115.48450000000004</v>
      </c>
      <c r="J125" s="23">
        <f>Processed_data[[#This Row],[Zysk brutto
(Gross profit)]]/Processed_data[[#This Row],[Przychód brutto (Revenue)]]</f>
        <v>0.4321943825901462</v>
      </c>
      <c r="K125" t="str">
        <f>IF(Processed_data[[#This Row],[Marża (Margin)]]&gt;0.6,"wysoka",IF(Processed_data[[#This Row],[Marża (Margin)]]&gt;0.3,"średnia","niska"))</f>
        <v>średnia</v>
      </c>
      <c r="L125">
        <f>MONTH(Raw_Data[[#This Row],[Data zamów. (Order date)]])</f>
        <v>1</v>
      </c>
      <c r="M125" t="str">
        <f>TEXT(Raw_Data[[#This Row],[Data zamów. (Order date)]], "MMMM")</f>
        <v>styczeń</v>
      </c>
      <c r="N125">
        <f>IF(Processed_data[[#This Row],[Miesiąc (Month)]]&lt;=3,1,IF(Processed_data[[#This Row],[Miesiąc (Month)]]&lt;=6,2,IF(Processed_data[[#This Row],[Miesiąc (Month)]]&lt;=9,3,4)))</f>
        <v>1</v>
      </c>
    </row>
    <row r="126" spans="1:14" x14ac:dyDescent="0.25">
      <c r="A126" s="6" t="str">
        <f>Raw_Data[[#This Row],[ID zamów. (Order ID)]]</f>
        <v>ORD0125</v>
      </c>
      <c r="B126" s="6" t="str">
        <f>Raw_Data[[#This Row],[ID klienta (Client ID)]]</f>
        <v>CUST8225</v>
      </c>
      <c r="C126" s="6" t="str">
        <f>_xlfn.XLOOKUP(Raw_Data[[#This Row],[Produkt (Product)]],'Product lookup table'!$A$2:$A$20,'Product lookup table'!$B$2:$B$20)</f>
        <v>Outdoor</v>
      </c>
      <c r="D126" s="6" t="str">
        <f>Raw_Data[[#This Row],[Produkt (Product)]]</f>
        <v>Buty trekkingowe</v>
      </c>
      <c r="E126" s="6" t="str">
        <f>Raw_Data[[#This Row],[Kanał sprzedaży (Marketplace)]]</f>
        <v>Shopify</v>
      </c>
      <c r="F126" s="6" t="str">
        <f>Raw_Data[[#This Row],[Miasto (City)]]</f>
        <v>Kraków</v>
      </c>
      <c r="G126" s="6">
        <f>Raw_Data[[#This Row],[Ilość (Quant.)]]</f>
        <v>1</v>
      </c>
      <c r="H126" s="7">
        <f>Raw_Data[[#This Row],[Przychód brutto (Revenue)]]</f>
        <v>404.67771428571433</v>
      </c>
      <c r="I12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94.67771428571433</v>
      </c>
      <c r="J126" s="23">
        <f>Processed_data[[#This Row],[Zysk brutto
(Gross profit)]]/Processed_data[[#This Row],[Przychód brutto (Revenue)]]</f>
        <v>0.23395831038738418</v>
      </c>
      <c r="K126" t="str">
        <f>IF(Processed_data[[#This Row],[Marża (Margin)]]&gt;0.6,"wysoka",IF(Processed_data[[#This Row],[Marża (Margin)]]&gt;0.3,"średnia","niska"))</f>
        <v>niska</v>
      </c>
      <c r="L126">
        <f>MONTH(Raw_Data[[#This Row],[Data zamów. (Order date)]])</f>
        <v>8</v>
      </c>
      <c r="M126" t="str">
        <f>TEXT(Raw_Data[[#This Row],[Data zamów. (Order date)]], "MMMM")</f>
        <v>sierpień</v>
      </c>
      <c r="N126">
        <f>IF(Processed_data[[#This Row],[Miesiąc (Month)]]&lt;=3,1,IF(Processed_data[[#This Row],[Miesiąc (Month)]]&lt;=6,2,IF(Processed_data[[#This Row],[Miesiąc (Month)]]&lt;=9,3,4)))</f>
        <v>3</v>
      </c>
    </row>
    <row r="127" spans="1:14" x14ac:dyDescent="0.25">
      <c r="A127" s="6" t="str">
        <f>Raw_Data[[#This Row],[ID zamów. (Order ID)]]</f>
        <v>ORD0126</v>
      </c>
      <c r="B127" s="6" t="str">
        <f>Raw_Data[[#This Row],[ID klienta (Client ID)]]</f>
        <v>CUST8225</v>
      </c>
      <c r="C127" s="6" t="str">
        <f>_xlfn.XLOOKUP(Raw_Data[[#This Row],[Produkt (Product)]],'Product lookup table'!$A$2:$A$20,'Product lookup table'!$B$2:$B$20)</f>
        <v>Kosmetyki</v>
      </c>
      <c r="D127" s="6" t="str">
        <f>Raw_Data[[#This Row],[Produkt (Product)]]</f>
        <v>Szampon</v>
      </c>
      <c r="E127" s="6" t="str">
        <f>Raw_Data[[#This Row],[Kanał sprzedaży (Marketplace)]]</f>
        <v>Empik Marketplace</v>
      </c>
      <c r="F127" s="6" t="str">
        <f>Raw_Data[[#This Row],[Miasto (City)]]</f>
        <v>Kraków</v>
      </c>
      <c r="G127" s="6">
        <f>Raw_Data[[#This Row],[Ilość (Quant.)]]</f>
        <v>3</v>
      </c>
      <c r="H127" s="7">
        <f>Raw_Data[[#This Row],[Przychód brutto (Revenue)]]</f>
        <v>30.513000000000005</v>
      </c>
      <c r="I12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16.961700000000004</v>
      </c>
      <c r="J127" s="23">
        <f>Processed_data[[#This Row],[Zysk brutto
(Gross profit)]]/Processed_data[[#This Row],[Przychód brutto (Revenue)]]</f>
        <v>0.5558843771507227</v>
      </c>
      <c r="K127" t="str">
        <f>IF(Processed_data[[#This Row],[Marża (Margin)]]&gt;0.6,"wysoka",IF(Processed_data[[#This Row],[Marża (Margin)]]&gt;0.3,"średnia","niska"))</f>
        <v>średnia</v>
      </c>
      <c r="L127">
        <f>MONTH(Raw_Data[[#This Row],[Data zamów. (Order date)]])</f>
        <v>2</v>
      </c>
      <c r="M127" t="str">
        <f>TEXT(Raw_Data[[#This Row],[Data zamów. (Order date)]], "MMMM")</f>
        <v>luty</v>
      </c>
      <c r="N127">
        <f>IF(Processed_data[[#This Row],[Miesiąc (Month)]]&lt;=3,1,IF(Processed_data[[#This Row],[Miesiąc (Month)]]&lt;=6,2,IF(Processed_data[[#This Row],[Miesiąc (Month)]]&lt;=9,3,4)))</f>
        <v>1</v>
      </c>
    </row>
    <row r="128" spans="1:14" x14ac:dyDescent="0.25">
      <c r="A128" s="6" t="str">
        <f>Raw_Data[[#This Row],[ID zamów. (Order ID)]]</f>
        <v>ORD0127</v>
      </c>
      <c r="B128" s="6" t="str">
        <f>Raw_Data[[#This Row],[ID klienta (Client ID)]]</f>
        <v>CUST8225</v>
      </c>
      <c r="C128" s="6" t="str">
        <f>_xlfn.XLOOKUP(Raw_Data[[#This Row],[Produkt (Product)]],'Product lookup table'!$A$2:$A$20,'Product lookup table'!$B$2:$B$20)</f>
        <v>Kosmetyki</v>
      </c>
      <c r="D128" s="6" t="str">
        <f>Raw_Data[[#This Row],[Produkt (Product)]]</f>
        <v>Żel pod prysznic</v>
      </c>
      <c r="E128" s="6" t="str">
        <f>Raw_Data[[#This Row],[Kanał sprzedaży (Marketplace)]]</f>
        <v>Empik Marketplace</v>
      </c>
      <c r="F128" s="6" t="str">
        <f>Raw_Data[[#This Row],[Miasto (City)]]</f>
        <v>Kraków</v>
      </c>
      <c r="G128" s="6">
        <f>Raw_Data[[#This Row],[Ilość (Quant.)]]</f>
        <v>5</v>
      </c>
      <c r="H128" s="7">
        <f>Raw_Data[[#This Row],[Przychód brutto (Revenue)]]</f>
        <v>36.454999999999998</v>
      </c>
      <c r="I12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20.3095</v>
      </c>
      <c r="J128" s="23">
        <f>Processed_data[[#This Row],[Zysk brutto
(Gross profit)]]/Processed_data[[#This Row],[Przychód brutto (Revenue)]]</f>
        <v>0.55711150733781378</v>
      </c>
      <c r="K128" t="str">
        <f>IF(Processed_data[[#This Row],[Marża (Margin)]]&gt;0.6,"wysoka",IF(Processed_data[[#This Row],[Marża (Margin)]]&gt;0.3,"średnia","niska"))</f>
        <v>średnia</v>
      </c>
      <c r="L128">
        <f>MONTH(Raw_Data[[#This Row],[Data zamów. (Order date)]])</f>
        <v>1</v>
      </c>
      <c r="M128" t="str">
        <f>TEXT(Raw_Data[[#This Row],[Data zamów. (Order date)]], "MMMM")</f>
        <v>styczeń</v>
      </c>
      <c r="N128">
        <f>IF(Processed_data[[#This Row],[Miesiąc (Month)]]&lt;=3,1,IF(Processed_data[[#This Row],[Miesiąc (Month)]]&lt;=6,2,IF(Processed_data[[#This Row],[Miesiąc (Month)]]&lt;=9,3,4)))</f>
        <v>1</v>
      </c>
    </row>
    <row r="129" spans="1:14" x14ac:dyDescent="0.25">
      <c r="A129" s="6" t="str">
        <f>Raw_Data[[#This Row],[ID zamów. (Order ID)]]</f>
        <v>ORD0128</v>
      </c>
      <c r="B129" s="6" t="str">
        <f>Raw_Data[[#This Row],[ID klienta (Client ID)]]</f>
        <v>CUST8225</v>
      </c>
      <c r="C129" s="6" t="str">
        <f>_xlfn.XLOOKUP(Raw_Data[[#This Row],[Produkt (Product)]],'Product lookup table'!$A$2:$A$20,'Product lookup table'!$B$2:$B$20)</f>
        <v>Outdoor</v>
      </c>
      <c r="D129" s="6" t="str">
        <f>Raw_Data[[#This Row],[Produkt (Product)]]</f>
        <v>Namiot</v>
      </c>
      <c r="E129" s="6" t="str">
        <f>Raw_Data[[#This Row],[Kanał sprzedaży (Marketplace)]]</f>
        <v>Shopify</v>
      </c>
      <c r="F129" s="6" t="str">
        <f>Raw_Data[[#This Row],[Miasto (City)]]</f>
        <v>Kraków</v>
      </c>
      <c r="G129" s="6">
        <f>Raw_Data[[#This Row],[Ilość (Quant.)]]</f>
        <v>3</v>
      </c>
      <c r="H129" s="7">
        <f>Raw_Data[[#This Row],[Przychód brutto (Revenue)]]</f>
        <v>1775.9057142857141</v>
      </c>
      <c r="I12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695.90571428571411</v>
      </c>
      <c r="J129" s="23">
        <f>Processed_data[[#This Row],[Zysk brutto
(Gross profit)]]/Processed_data[[#This Row],[Przychód brutto (Revenue)]]</f>
        <v>0.39185960644628809</v>
      </c>
      <c r="K129" t="str">
        <f>IF(Processed_data[[#This Row],[Marża (Margin)]]&gt;0.6,"wysoka",IF(Processed_data[[#This Row],[Marża (Margin)]]&gt;0.3,"średnia","niska"))</f>
        <v>średnia</v>
      </c>
      <c r="L129">
        <f>MONTH(Raw_Data[[#This Row],[Data zamów. (Order date)]])</f>
        <v>12</v>
      </c>
      <c r="M129" t="str">
        <f>TEXT(Raw_Data[[#This Row],[Data zamów. (Order date)]], "MMMM")</f>
        <v>grudzień</v>
      </c>
      <c r="N129">
        <f>IF(Processed_data[[#This Row],[Miesiąc (Month)]]&lt;=3,1,IF(Processed_data[[#This Row],[Miesiąc (Month)]]&lt;=6,2,IF(Processed_data[[#This Row],[Miesiąc (Month)]]&lt;=9,3,4)))</f>
        <v>4</v>
      </c>
    </row>
    <row r="130" spans="1:14" x14ac:dyDescent="0.25">
      <c r="A130" s="6" t="str">
        <f>Raw_Data[[#This Row],[ID zamów. (Order ID)]]</f>
        <v>ORD0129</v>
      </c>
      <c r="B130" s="6" t="str">
        <f>Raw_Data[[#This Row],[ID klienta (Client ID)]]</f>
        <v>CUST8883</v>
      </c>
      <c r="C130" s="6" t="str">
        <f>_xlfn.XLOOKUP(Raw_Data[[#This Row],[Produkt (Product)]],'Product lookup table'!$A$2:$A$20,'Product lookup table'!$B$2:$B$20)</f>
        <v>Outdoor</v>
      </c>
      <c r="D130" s="6" t="str">
        <f>Raw_Data[[#This Row],[Produkt (Product)]]</f>
        <v>Śpiwór</v>
      </c>
      <c r="E130" s="6" t="str">
        <f>Raw_Data[[#This Row],[Kanał sprzedaży (Marketplace)]]</f>
        <v>Allegro</v>
      </c>
      <c r="F130" s="6" t="str">
        <f>Raw_Data[[#This Row],[Miasto (City)]]</f>
        <v>Gdańsk</v>
      </c>
      <c r="G130" s="6">
        <f>Raw_Data[[#This Row],[Ilość (Quant.)]]</f>
        <v>2</v>
      </c>
      <c r="H130" s="7">
        <f>Raw_Data[[#This Row],[Przychód brutto (Revenue)]]</f>
        <v>787.55714285714294</v>
      </c>
      <c r="I13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184.5525714285715</v>
      </c>
      <c r="J130" s="23">
        <f>Processed_data[[#This Row],[Zysk brutto
(Gross profit)]]/Processed_data[[#This Row],[Przychód brutto (Revenue)]]</f>
        <v>0.23433546772116315</v>
      </c>
      <c r="K130" t="str">
        <f>IF(Processed_data[[#This Row],[Marża (Margin)]]&gt;0.6,"wysoka",IF(Processed_data[[#This Row],[Marża (Margin)]]&gt;0.3,"średnia","niska"))</f>
        <v>niska</v>
      </c>
      <c r="L130">
        <f>MONTH(Raw_Data[[#This Row],[Data zamów. (Order date)]])</f>
        <v>2</v>
      </c>
      <c r="M130" t="str">
        <f>TEXT(Raw_Data[[#This Row],[Data zamów. (Order date)]], "MMMM")</f>
        <v>luty</v>
      </c>
      <c r="N130">
        <f>IF(Processed_data[[#This Row],[Miesiąc (Month)]]&lt;=3,1,IF(Processed_data[[#This Row],[Miesiąc (Month)]]&lt;=6,2,IF(Processed_data[[#This Row],[Miesiąc (Month)]]&lt;=9,3,4)))</f>
        <v>1</v>
      </c>
    </row>
    <row r="131" spans="1:14" x14ac:dyDescent="0.25">
      <c r="A131" s="6" t="str">
        <f>Raw_Data[[#This Row],[ID zamów. (Order ID)]]</f>
        <v>ORD0130</v>
      </c>
      <c r="B131" s="6" t="str">
        <f>Raw_Data[[#This Row],[ID klienta (Client ID)]]</f>
        <v>CUST8883</v>
      </c>
      <c r="C131" s="6" t="str">
        <f>_xlfn.XLOOKUP(Raw_Data[[#This Row],[Produkt (Product)]],'Product lookup table'!$A$2:$A$20,'Product lookup table'!$B$2:$B$20)</f>
        <v>Home</v>
      </c>
      <c r="D131" s="6" t="str">
        <f>Raw_Data[[#This Row],[Produkt (Product)]]</f>
        <v>Wazon szklany</v>
      </c>
      <c r="E131" s="6" t="str">
        <f>Raw_Data[[#This Row],[Kanał sprzedaży (Marketplace)]]</f>
        <v>Amazon</v>
      </c>
      <c r="F131" s="6" t="str">
        <f>Raw_Data[[#This Row],[Miasto (City)]]</f>
        <v>Gdańsk</v>
      </c>
      <c r="G131" s="6">
        <f>Raw_Data[[#This Row],[Ilość (Quant.)]]</f>
        <v>1</v>
      </c>
      <c r="H131" s="7">
        <f>Raw_Data[[#This Row],[Przychód brutto (Revenue)]]</f>
        <v>26.654454545454541</v>
      </c>
      <c r="I13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8.4559199999999972</v>
      </c>
      <c r="J131" s="23">
        <f>Processed_data[[#This Row],[Zysk brutto
(Gross profit)]]/Processed_data[[#This Row],[Przychód brutto (Revenue)]]</f>
        <v>0.31724228254530196</v>
      </c>
      <c r="K131" t="str">
        <f>IF(Processed_data[[#This Row],[Marża (Margin)]]&gt;0.6,"wysoka",IF(Processed_data[[#This Row],[Marża (Margin)]]&gt;0.3,"średnia","niska"))</f>
        <v>średnia</v>
      </c>
      <c r="L131">
        <f>MONTH(Raw_Data[[#This Row],[Data zamów. (Order date)]])</f>
        <v>10</v>
      </c>
      <c r="M131" t="str">
        <f>TEXT(Raw_Data[[#This Row],[Data zamów. (Order date)]], "MMMM")</f>
        <v>październik</v>
      </c>
      <c r="N131">
        <f>IF(Processed_data[[#This Row],[Miesiąc (Month)]]&lt;=3,1,IF(Processed_data[[#This Row],[Miesiąc (Month)]]&lt;=6,2,IF(Processed_data[[#This Row],[Miesiąc (Month)]]&lt;=9,3,4)))</f>
        <v>4</v>
      </c>
    </row>
    <row r="132" spans="1:14" x14ac:dyDescent="0.25">
      <c r="A132" s="6" t="str">
        <f>Raw_Data[[#This Row],[ID zamów. (Order ID)]]</f>
        <v>ORD0131</v>
      </c>
      <c r="B132" s="6" t="str">
        <f>Raw_Data[[#This Row],[ID klienta (Client ID)]]</f>
        <v>CUST8883</v>
      </c>
      <c r="C132" s="6" t="str">
        <f>_xlfn.XLOOKUP(Raw_Data[[#This Row],[Produkt (Product)]],'Product lookup table'!$A$2:$A$20,'Product lookup table'!$B$2:$B$20)</f>
        <v>Outdoor</v>
      </c>
      <c r="D132" s="6" t="str">
        <f>Raw_Data[[#This Row],[Produkt (Product)]]</f>
        <v>Latarka</v>
      </c>
      <c r="E132" s="6" t="str">
        <f>Raw_Data[[#This Row],[Kanał sprzedaży (Marketplace)]]</f>
        <v>Amazon</v>
      </c>
      <c r="F132" s="6" t="str">
        <f>Raw_Data[[#This Row],[Miasto (City)]]</f>
        <v>Gdańsk</v>
      </c>
      <c r="G132" s="6">
        <f>Raw_Data[[#This Row],[Ilość (Quant.)]]</f>
        <v>1</v>
      </c>
      <c r="H132" s="7">
        <f>Raw_Data[[#This Row],[Przychód brutto (Revenue)]]</f>
        <v>46.140000000000008</v>
      </c>
      <c r="I13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12.603200000000008</v>
      </c>
      <c r="J132" s="23">
        <f>Processed_data[[#This Row],[Zysk brutto
(Gross profit)]]/Processed_data[[#This Row],[Przychód brutto (Revenue)]]</f>
        <v>0.27315127871694855</v>
      </c>
      <c r="K132" t="str">
        <f>IF(Processed_data[[#This Row],[Marża (Margin)]]&gt;0.6,"wysoka",IF(Processed_data[[#This Row],[Marża (Margin)]]&gt;0.3,"średnia","niska"))</f>
        <v>niska</v>
      </c>
      <c r="L132">
        <f>MONTH(Raw_Data[[#This Row],[Data zamów. (Order date)]])</f>
        <v>4</v>
      </c>
      <c r="M132" t="str">
        <f>TEXT(Raw_Data[[#This Row],[Data zamów. (Order date)]], "MMMM")</f>
        <v>kwiecień</v>
      </c>
      <c r="N132">
        <f>IF(Processed_data[[#This Row],[Miesiąc (Month)]]&lt;=3,1,IF(Processed_data[[#This Row],[Miesiąc (Month)]]&lt;=6,2,IF(Processed_data[[#This Row],[Miesiąc (Month)]]&lt;=9,3,4)))</f>
        <v>2</v>
      </c>
    </row>
    <row r="133" spans="1:14" x14ac:dyDescent="0.25">
      <c r="A133" s="6" t="str">
        <f>Raw_Data[[#This Row],[ID zamów. (Order ID)]]</f>
        <v>ORD0132</v>
      </c>
      <c r="B133" s="6" t="str">
        <f>Raw_Data[[#This Row],[ID klienta (Client ID)]]</f>
        <v>CUST5826</v>
      </c>
      <c r="C133" s="6" t="str">
        <f>_xlfn.XLOOKUP(Raw_Data[[#This Row],[Produkt (Product)]],'Product lookup table'!$A$2:$A$20,'Product lookup table'!$B$2:$B$20)</f>
        <v>Outdoor</v>
      </c>
      <c r="D133" s="6" t="str">
        <f>Raw_Data[[#This Row],[Produkt (Product)]]</f>
        <v>Śpiwór</v>
      </c>
      <c r="E133" s="6" t="str">
        <f>Raw_Data[[#This Row],[Kanał sprzedaży (Marketplace)]]</f>
        <v>Amazon</v>
      </c>
      <c r="F133" s="6" t="str">
        <f>Raw_Data[[#This Row],[Miasto (City)]]</f>
        <v>Poznań</v>
      </c>
      <c r="G133" s="6">
        <f>Raw_Data[[#This Row],[Ilość (Quant.)]]</f>
        <v>1</v>
      </c>
      <c r="H133" s="7">
        <f>Raw_Data[[#This Row],[Przychód brutto (Revenue)]]</f>
        <v>525.11142857142852</v>
      </c>
      <c r="I13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192.0980571428571</v>
      </c>
      <c r="J133" s="23">
        <f>Processed_data[[#This Row],[Zysk brutto
(Gross profit)]]/Processed_data[[#This Row],[Przychód brutto (Revenue)]]</f>
        <v>0.36582341707066252</v>
      </c>
      <c r="K133" t="str">
        <f>IF(Processed_data[[#This Row],[Marża (Margin)]]&gt;0.6,"wysoka",IF(Processed_data[[#This Row],[Marża (Margin)]]&gt;0.3,"średnia","niska"))</f>
        <v>średnia</v>
      </c>
      <c r="L133">
        <f>MONTH(Raw_Data[[#This Row],[Data zamów. (Order date)]])</f>
        <v>12</v>
      </c>
      <c r="M133" t="str">
        <f>TEXT(Raw_Data[[#This Row],[Data zamów. (Order date)]], "MMMM")</f>
        <v>grudzień</v>
      </c>
      <c r="N133">
        <f>IF(Processed_data[[#This Row],[Miesiąc (Month)]]&lt;=3,1,IF(Processed_data[[#This Row],[Miesiąc (Month)]]&lt;=6,2,IF(Processed_data[[#This Row],[Miesiąc (Month)]]&lt;=9,3,4)))</f>
        <v>4</v>
      </c>
    </row>
    <row r="134" spans="1:14" x14ac:dyDescent="0.25">
      <c r="A134" s="6" t="str">
        <f>Raw_Data[[#This Row],[ID zamów. (Order ID)]]</f>
        <v>ORD0133</v>
      </c>
      <c r="B134" s="6" t="str">
        <f>Raw_Data[[#This Row],[ID klienta (Client ID)]]</f>
        <v>CUST5826</v>
      </c>
      <c r="C134" s="6" t="str">
        <f>_xlfn.XLOOKUP(Raw_Data[[#This Row],[Produkt (Product)]],'Product lookup table'!$A$2:$A$20,'Product lookup table'!$B$2:$B$20)</f>
        <v>Elektronika</v>
      </c>
      <c r="D134" s="6" t="str">
        <f>Raw_Data[[#This Row],[Produkt (Product)]]</f>
        <v>Głośnik</v>
      </c>
      <c r="E134" s="6" t="str">
        <f>Raw_Data[[#This Row],[Kanał sprzedaży (Marketplace)]]</f>
        <v>Amazon</v>
      </c>
      <c r="F134" s="6" t="str">
        <f>Raw_Data[[#This Row],[Miasto (City)]]</f>
        <v>Poznań</v>
      </c>
      <c r="G134" s="6">
        <f>Raw_Data[[#This Row],[Ilość (Quant.)]]</f>
        <v>5</v>
      </c>
      <c r="H134" s="7">
        <f>Raw_Data[[#This Row],[Przychód brutto (Revenue)]]</f>
        <v>803.3195652173913</v>
      </c>
      <c r="I13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56.921217391304353</v>
      </c>
      <c r="J134" s="23">
        <f>Processed_data[[#This Row],[Zysk brutto
(Gross profit)]]/Processed_data[[#This Row],[Przychód brutto (Revenue)]]</f>
        <v>7.0857501616931926E-2</v>
      </c>
      <c r="K134" t="str">
        <f>IF(Processed_data[[#This Row],[Marża (Margin)]]&gt;0.6,"wysoka",IF(Processed_data[[#This Row],[Marża (Margin)]]&gt;0.3,"średnia","niska"))</f>
        <v>niska</v>
      </c>
      <c r="L134">
        <f>MONTH(Raw_Data[[#This Row],[Data zamów. (Order date)]])</f>
        <v>5</v>
      </c>
      <c r="M134" t="str">
        <f>TEXT(Raw_Data[[#This Row],[Data zamów. (Order date)]], "MMMM")</f>
        <v>maj</v>
      </c>
      <c r="N134">
        <f>IF(Processed_data[[#This Row],[Miesiąc (Month)]]&lt;=3,1,IF(Processed_data[[#This Row],[Miesiąc (Month)]]&lt;=6,2,IF(Processed_data[[#This Row],[Miesiąc (Month)]]&lt;=9,3,4)))</f>
        <v>2</v>
      </c>
    </row>
    <row r="135" spans="1:14" x14ac:dyDescent="0.25">
      <c r="A135" s="6" t="str">
        <f>Raw_Data[[#This Row],[ID zamów. (Order ID)]]</f>
        <v>ORD0134</v>
      </c>
      <c r="B135" s="6" t="str">
        <f>Raw_Data[[#This Row],[ID klienta (Client ID)]]</f>
        <v>CUST5826</v>
      </c>
      <c r="C135" s="6" t="str">
        <f>_xlfn.XLOOKUP(Raw_Data[[#This Row],[Produkt (Product)]],'Product lookup table'!$A$2:$A$20,'Product lookup table'!$B$2:$B$20)</f>
        <v>Outdoor</v>
      </c>
      <c r="D135" s="6" t="str">
        <f>Raw_Data[[#This Row],[Produkt (Product)]]</f>
        <v>Latarka</v>
      </c>
      <c r="E135" s="6" t="str">
        <f>Raw_Data[[#This Row],[Kanał sprzedaży (Marketplace)]]</f>
        <v>Shopify</v>
      </c>
      <c r="F135" s="6" t="str">
        <f>Raw_Data[[#This Row],[Miasto (City)]]</f>
        <v>Poznań</v>
      </c>
      <c r="G135" s="6">
        <f>Raw_Data[[#This Row],[Ilość (Quant.)]]</f>
        <v>3</v>
      </c>
      <c r="H135" s="7">
        <f>Raw_Data[[#This Row],[Przychód brutto (Revenue)]]</f>
        <v>157.77000000000001</v>
      </c>
      <c r="I13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73.77000000000001</v>
      </c>
      <c r="J135" s="23">
        <f>Processed_data[[#This Row],[Zysk brutto
(Gross profit)]]/Processed_data[[#This Row],[Przychód brutto (Revenue)]]</f>
        <v>0.46757938771629592</v>
      </c>
      <c r="K135" t="str">
        <f>IF(Processed_data[[#This Row],[Marża (Margin)]]&gt;0.6,"wysoka",IF(Processed_data[[#This Row],[Marża (Margin)]]&gt;0.3,"średnia","niska"))</f>
        <v>średnia</v>
      </c>
      <c r="L135">
        <f>MONTH(Raw_Data[[#This Row],[Data zamów. (Order date)]])</f>
        <v>9</v>
      </c>
      <c r="M135" t="str">
        <f>TEXT(Raw_Data[[#This Row],[Data zamów. (Order date)]], "MMMM")</f>
        <v>wrzesień</v>
      </c>
      <c r="N135">
        <f>IF(Processed_data[[#This Row],[Miesiąc (Month)]]&lt;=3,1,IF(Processed_data[[#This Row],[Miesiąc (Month)]]&lt;=6,2,IF(Processed_data[[#This Row],[Miesiąc (Month)]]&lt;=9,3,4)))</f>
        <v>3</v>
      </c>
    </row>
    <row r="136" spans="1:14" x14ac:dyDescent="0.25">
      <c r="A136" s="6" t="str">
        <f>Raw_Data[[#This Row],[ID zamów. (Order ID)]]</f>
        <v>ORD0135</v>
      </c>
      <c r="B136" s="6" t="str">
        <f>Raw_Data[[#This Row],[ID klienta (Client ID)]]</f>
        <v>CUST4269</v>
      </c>
      <c r="C136" s="6" t="str">
        <f>_xlfn.XLOOKUP(Raw_Data[[#This Row],[Produkt (Product)]],'Product lookup table'!$A$2:$A$20,'Product lookup table'!$B$2:$B$20)</f>
        <v>Outdoor</v>
      </c>
      <c r="D136" s="6" t="str">
        <f>Raw_Data[[#This Row],[Produkt (Product)]]</f>
        <v>Śpiwór</v>
      </c>
      <c r="E136" s="6" t="str">
        <f>Raw_Data[[#This Row],[Kanał sprzedaży (Marketplace)]]</f>
        <v>Allegro</v>
      </c>
      <c r="F136" s="6" t="str">
        <f>Raw_Data[[#This Row],[Miasto (City)]]</f>
        <v>Poznań</v>
      </c>
      <c r="G136" s="6">
        <f>Raw_Data[[#This Row],[Ilość (Quant.)]]</f>
        <v>4</v>
      </c>
      <c r="H136" s="7">
        <f>Raw_Data[[#This Row],[Przychód brutto (Revenue)]]</f>
        <v>1798.323142857143</v>
      </c>
      <c r="I13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574.45729142857158</v>
      </c>
      <c r="J136" s="23">
        <f>Processed_data[[#This Row],[Zysk brutto
(Gross profit)]]/Processed_data[[#This Row],[Przychód brutto (Revenue)]]</f>
        <v>0.31944052642056547</v>
      </c>
      <c r="K136" t="str">
        <f>IF(Processed_data[[#This Row],[Marża (Margin)]]&gt;0.6,"wysoka",IF(Processed_data[[#This Row],[Marża (Margin)]]&gt;0.3,"średnia","niska"))</f>
        <v>średnia</v>
      </c>
      <c r="L136">
        <f>MONTH(Raw_Data[[#This Row],[Data zamów. (Order date)]])</f>
        <v>2</v>
      </c>
      <c r="M136" t="str">
        <f>TEXT(Raw_Data[[#This Row],[Data zamów. (Order date)]], "MMMM")</f>
        <v>luty</v>
      </c>
      <c r="N136">
        <f>IF(Processed_data[[#This Row],[Miesiąc (Month)]]&lt;=3,1,IF(Processed_data[[#This Row],[Miesiąc (Month)]]&lt;=6,2,IF(Processed_data[[#This Row],[Miesiąc (Month)]]&lt;=9,3,4)))</f>
        <v>1</v>
      </c>
    </row>
    <row r="137" spans="1:14" x14ac:dyDescent="0.25">
      <c r="A137" s="6" t="str">
        <f>Raw_Data[[#This Row],[ID zamów. (Order ID)]]</f>
        <v>ORD0136</v>
      </c>
      <c r="B137" s="6" t="str">
        <f>Raw_Data[[#This Row],[ID klienta (Client ID)]]</f>
        <v>CUST9657</v>
      </c>
      <c r="C137" s="6" t="str">
        <f>_xlfn.XLOOKUP(Raw_Data[[#This Row],[Produkt (Product)]],'Product lookup table'!$A$2:$A$20,'Product lookup table'!$B$2:$B$20)</f>
        <v>Outdoor</v>
      </c>
      <c r="D137" s="6" t="str">
        <f>Raw_Data[[#This Row],[Produkt (Product)]]</f>
        <v>Bidon</v>
      </c>
      <c r="E137" s="6" t="str">
        <f>Raw_Data[[#This Row],[Kanał sprzedaży (Marketplace)]]</f>
        <v>Amazon</v>
      </c>
      <c r="F137" s="6" t="str">
        <f>Raw_Data[[#This Row],[Miasto (City)]]</f>
        <v>Kraków</v>
      </c>
      <c r="G137" s="6">
        <f>Raw_Data[[#This Row],[Ilość (Quant.)]]</f>
        <v>2</v>
      </c>
      <c r="H137" s="7">
        <f>Raw_Data[[#This Row],[Przychód brutto (Revenue)]]</f>
        <v>50.40857142857142</v>
      </c>
      <c r="I13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14.35954285714285</v>
      </c>
      <c r="J137" s="23">
        <f>Processed_data[[#This Row],[Zysk brutto
(Gross profit)]]/Processed_data[[#This Row],[Przychód brutto (Revenue)]]</f>
        <v>0.28486311851725887</v>
      </c>
      <c r="K137" t="str">
        <f>IF(Processed_data[[#This Row],[Marża (Margin)]]&gt;0.6,"wysoka",IF(Processed_data[[#This Row],[Marża (Margin)]]&gt;0.3,"średnia","niska"))</f>
        <v>niska</v>
      </c>
      <c r="L137">
        <f>MONTH(Raw_Data[[#This Row],[Data zamów. (Order date)]])</f>
        <v>9</v>
      </c>
      <c r="M137" t="str">
        <f>TEXT(Raw_Data[[#This Row],[Data zamów. (Order date)]], "MMMM")</f>
        <v>wrzesień</v>
      </c>
      <c r="N137">
        <f>IF(Processed_data[[#This Row],[Miesiąc (Month)]]&lt;=3,1,IF(Processed_data[[#This Row],[Miesiąc (Month)]]&lt;=6,2,IF(Processed_data[[#This Row],[Miesiąc (Month)]]&lt;=9,3,4)))</f>
        <v>3</v>
      </c>
    </row>
    <row r="138" spans="1:14" x14ac:dyDescent="0.25">
      <c r="A138" s="6" t="str">
        <f>Raw_Data[[#This Row],[ID zamów. (Order ID)]]</f>
        <v>ORD0137</v>
      </c>
      <c r="B138" s="6" t="str">
        <f>Raw_Data[[#This Row],[ID klienta (Client ID)]]</f>
        <v>CUST9657</v>
      </c>
      <c r="C138" s="6" t="str">
        <f>_xlfn.XLOOKUP(Raw_Data[[#This Row],[Produkt (Product)]],'Product lookup table'!$A$2:$A$20,'Product lookup table'!$B$2:$B$20)</f>
        <v>Kosmetyki</v>
      </c>
      <c r="D138" s="6" t="str">
        <f>Raw_Data[[#This Row],[Produkt (Product)]]</f>
        <v>Krem do twarzy</v>
      </c>
      <c r="E138" s="6" t="str">
        <f>Raw_Data[[#This Row],[Kanał sprzedaży (Marketplace)]]</f>
        <v>Empik Marketplace</v>
      </c>
      <c r="F138" s="6" t="str">
        <f>Raw_Data[[#This Row],[Miasto (City)]]</f>
        <v>Kraków</v>
      </c>
      <c r="G138" s="6">
        <f>Raw_Data[[#This Row],[Ilość (Quant.)]]</f>
        <v>3</v>
      </c>
      <c r="H138" s="7">
        <f>Raw_Data[[#This Row],[Przychód brutto (Revenue)]]</f>
        <v>205.6465</v>
      </c>
      <c r="I13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110.08185</v>
      </c>
      <c r="J138" s="23">
        <f>Processed_data[[#This Row],[Zysk brutto
(Gross profit)]]/Processed_data[[#This Row],[Przychód brutto (Revenue)]]</f>
        <v>0.53529649179538674</v>
      </c>
      <c r="K138" t="str">
        <f>IF(Processed_data[[#This Row],[Marża (Margin)]]&gt;0.6,"wysoka",IF(Processed_data[[#This Row],[Marża (Margin)]]&gt;0.3,"średnia","niska"))</f>
        <v>średnia</v>
      </c>
      <c r="L138">
        <f>MONTH(Raw_Data[[#This Row],[Data zamów. (Order date)]])</f>
        <v>4</v>
      </c>
      <c r="M138" t="str">
        <f>TEXT(Raw_Data[[#This Row],[Data zamów. (Order date)]], "MMMM")</f>
        <v>kwiecień</v>
      </c>
      <c r="N138">
        <f>IF(Processed_data[[#This Row],[Miesiąc (Month)]]&lt;=3,1,IF(Processed_data[[#This Row],[Miesiąc (Month)]]&lt;=6,2,IF(Processed_data[[#This Row],[Miesiąc (Month)]]&lt;=9,3,4)))</f>
        <v>2</v>
      </c>
    </row>
    <row r="139" spans="1:14" x14ac:dyDescent="0.25">
      <c r="A139" s="6" t="str">
        <f>Raw_Data[[#This Row],[ID zamów. (Order ID)]]</f>
        <v>ORD0138</v>
      </c>
      <c r="B139" s="6" t="str">
        <f>Raw_Data[[#This Row],[ID klienta (Client ID)]]</f>
        <v>CUST7044</v>
      </c>
      <c r="C139" s="6" t="str">
        <f>_xlfn.XLOOKUP(Raw_Data[[#This Row],[Produkt (Product)]],'Product lookup table'!$A$2:$A$20,'Product lookup table'!$B$2:$B$20)</f>
        <v>Outdoor</v>
      </c>
      <c r="D139" s="6" t="str">
        <f>Raw_Data[[#This Row],[Produkt (Product)]]</f>
        <v>Buty trekkingowe</v>
      </c>
      <c r="E139" s="6" t="str">
        <f>Raw_Data[[#This Row],[Kanał sprzedaży (Marketplace)]]</f>
        <v>Empik Marketplace</v>
      </c>
      <c r="F139" s="6" t="str">
        <f>Raw_Data[[#This Row],[Miasto (City)]]</f>
        <v>Kraków</v>
      </c>
      <c r="G139" s="6">
        <f>Raw_Data[[#This Row],[Ilość (Quant.)]]</f>
        <v>5</v>
      </c>
      <c r="H139" s="7">
        <f>Raw_Data[[#This Row],[Przychód brutto (Revenue)]]</f>
        <v>2552.4321428571429</v>
      </c>
      <c r="I13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747.18892857142862</v>
      </c>
      <c r="J139" s="23">
        <f>Processed_data[[#This Row],[Zysk brutto
(Gross profit)]]/Processed_data[[#This Row],[Przychód brutto (Revenue)]]</f>
        <v>0.29273605986447099</v>
      </c>
      <c r="K139" t="str">
        <f>IF(Processed_data[[#This Row],[Marża (Margin)]]&gt;0.6,"wysoka",IF(Processed_data[[#This Row],[Marża (Margin)]]&gt;0.3,"średnia","niska"))</f>
        <v>niska</v>
      </c>
      <c r="L139">
        <f>MONTH(Raw_Data[[#This Row],[Data zamów. (Order date)]])</f>
        <v>7</v>
      </c>
      <c r="M139" t="str">
        <f>TEXT(Raw_Data[[#This Row],[Data zamów. (Order date)]], "MMMM")</f>
        <v>lipiec</v>
      </c>
      <c r="N139">
        <f>IF(Processed_data[[#This Row],[Miesiąc (Month)]]&lt;=3,1,IF(Processed_data[[#This Row],[Miesiąc (Month)]]&lt;=6,2,IF(Processed_data[[#This Row],[Miesiąc (Month)]]&lt;=9,3,4)))</f>
        <v>3</v>
      </c>
    </row>
    <row r="140" spans="1:14" x14ac:dyDescent="0.25">
      <c r="A140" s="6" t="str">
        <f>Raw_Data[[#This Row],[ID zamów. (Order ID)]]</f>
        <v>ORD0139</v>
      </c>
      <c r="B140" s="6" t="str">
        <f>Raw_Data[[#This Row],[ID klienta (Client ID)]]</f>
        <v>CUST7044</v>
      </c>
      <c r="C140" s="6" t="str">
        <f>_xlfn.XLOOKUP(Raw_Data[[#This Row],[Produkt (Product)]],'Product lookup table'!$A$2:$A$20,'Product lookup table'!$B$2:$B$20)</f>
        <v>Home</v>
      </c>
      <c r="D140" s="6" t="str">
        <f>Raw_Data[[#This Row],[Produkt (Product)]]</f>
        <v>Kubek</v>
      </c>
      <c r="E140" s="6" t="str">
        <f>Raw_Data[[#This Row],[Kanał sprzedaży (Marketplace)]]</f>
        <v>Allegro</v>
      </c>
      <c r="F140" s="6" t="str">
        <f>Raw_Data[[#This Row],[Miasto (City)]]</f>
        <v>Kraków</v>
      </c>
      <c r="G140" s="6">
        <f>Raw_Data[[#This Row],[Ilość (Quant.)]]</f>
        <v>3</v>
      </c>
      <c r="H140" s="7">
        <f>Raw_Data[[#This Row],[Przychód brutto (Revenue)]]</f>
        <v>67.076045454545451</v>
      </c>
      <c r="I14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34.709961818181817</v>
      </c>
      <c r="J140" s="23">
        <f>Processed_data[[#This Row],[Zysk brutto
(Gross profit)]]/Processed_data[[#This Row],[Przychód brutto (Revenue)]]</f>
        <v>0.51747179761369899</v>
      </c>
      <c r="K140" t="str">
        <f>IF(Processed_data[[#This Row],[Marża (Margin)]]&gt;0.6,"wysoka",IF(Processed_data[[#This Row],[Marża (Margin)]]&gt;0.3,"średnia","niska"))</f>
        <v>średnia</v>
      </c>
      <c r="L140">
        <f>MONTH(Raw_Data[[#This Row],[Data zamów. (Order date)]])</f>
        <v>12</v>
      </c>
      <c r="M140" t="str">
        <f>TEXT(Raw_Data[[#This Row],[Data zamów. (Order date)]], "MMMM")</f>
        <v>grudzień</v>
      </c>
      <c r="N140">
        <f>IF(Processed_data[[#This Row],[Miesiąc (Month)]]&lt;=3,1,IF(Processed_data[[#This Row],[Miesiąc (Month)]]&lt;=6,2,IF(Processed_data[[#This Row],[Miesiąc (Month)]]&lt;=9,3,4)))</f>
        <v>4</v>
      </c>
    </row>
    <row r="141" spans="1:14" x14ac:dyDescent="0.25">
      <c r="A141" s="6" t="str">
        <f>Raw_Data[[#This Row],[ID zamów. (Order ID)]]</f>
        <v>ORD0140</v>
      </c>
      <c r="B141" s="6" t="str">
        <f>Raw_Data[[#This Row],[ID klienta (Client ID)]]</f>
        <v>CUST7044</v>
      </c>
      <c r="C141" s="6" t="str">
        <f>_xlfn.XLOOKUP(Raw_Data[[#This Row],[Produkt (Product)]],'Product lookup table'!$A$2:$A$20,'Product lookup table'!$B$2:$B$20)</f>
        <v>Elektronika</v>
      </c>
      <c r="D141" s="6" t="str">
        <f>Raw_Data[[#This Row],[Produkt (Product)]]</f>
        <v>Klawiatura</v>
      </c>
      <c r="E141" s="6" t="str">
        <f>Raw_Data[[#This Row],[Kanał sprzedaży (Marketplace)]]</f>
        <v>Allegro</v>
      </c>
      <c r="F141" s="6" t="str">
        <f>Raw_Data[[#This Row],[Miasto (City)]]</f>
        <v>Kraków</v>
      </c>
      <c r="G141" s="6">
        <f>Raw_Data[[#This Row],[Ilość (Quant.)]]</f>
        <v>5</v>
      </c>
      <c r="H141" s="7">
        <f>Raw_Data[[#This Row],[Przychód brutto (Revenue)]]</f>
        <v>749.98260869565217</v>
      </c>
      <c r="I14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139.98400000000001</v>
      </c>
      <c r="J141" s="23">
        <f>Processed_data[[#This Row],[Zysk brutto
(Gross profit)]]/Processed_data[[#This Row],[Przychód brutto (Revenue)]]</f>
        <v>0.18664966144142475</v>
      </c>
      <c r="K141" t="str">
        <f>IF(Processed_data[[#This Row],[Marża (Margin)]]&gt;0.6,"wysoka",IF(Processed_data[[#This Row],[Marża (Margin)]]&gt;0.3,"średnia","niska"))</f>
        <v>niska</v>
      </c>
      <c r="L141">
        <f>MONTH(Raw_Data[[#This Row],[Data zamów. (Order date)]])</f>
        <v>10</v>
      </c>
      <c r="M141" t="str">
        <f>TEXT(Raw_Data[[#This Row],[Data zamów. (Order date)]], "MMMM")</f>
        <v>październik</v>
      </c>
      <c r="N141">
        <f>IF(Processed_data[[#This Row],[Miesiąc (Month)]]&lt;=3,1,IF(Processed_data[[#This Row],[Miesiąc (Month)]]&lt;=6,2,IF(Processed_data[[#This Row],[Miesiąc (Month)]]&lt;=9,3,4)))</f>
        <v>4</v>
      </c>
    </row>
    <row r="142" spans="1:14" x14ac:dyDescent="0.25">
      <c r="A142" s="6" t="str">
        <f>Raw_Data[[#This Row],[ID zamów. (Order ID)]]</f>
        <v>ORD0141</v>
      </c>
      <c r="B142" s="6" t="str">
        <f>Raw_Data[[#This Row],[ID klienta (Client ID)]]</f>
        <v>CUST3822</v>
      </c>
      <c r="C142" s="6" t="str">
        <f>_xlfn.XLOOKUP(Raw_Data[[#This Row],[Produkt (Product)]],'Product lookup table'!$A$2:$A$20,'Product lookup table'!$B$2:$B$20)</f>
        <v>Kosmetyki</v>
      </c>
      <c r="D142" s="6" t="str">
        <f>Raw_Data[[#This Row],[Produkt (Product)]]</f>
        <v>Serum</v>
      </c>
      <c r="E142" s="6" t="str">
        <f>Raw_Data[[#This Row],[Kanał sprzedaży (Marketplace)]]</f>
        <v>Empik Marketplace</v>
      </c>
      <c r="F142" s="6" t="str">
        <f>Raw_Data[[#This Row],[Miasto (City)]]</f>
        <v>Warszawa</v>
      </c>
      <c r="G142" s="6">
        <f>Raw_Data[[#This Row],[Ilość (Quant.)]]</f>
        <v>4</v>
      </c>
      <c r="H142" s="7">
        <f>Raw_Data[[#This Row],[Przychód brutto (Revenue)]]</f>
        <v>250.52333333333334</v>
      </c>
      <c r="I14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105.471</v>
      </c>
      <c r="J142" s="23">
        <f>Processed_data[[#This Row],[Zysk brutto
(Gross profit)]]/Processed_data[[#This Row],[Przychód brutto (Revenue)]]</f>
        <v>0.42100270101254705</v>
      </c>
      <c r="K142" t="str">
        <f>IF(Processed_data[[#This Row],[Marża (Margin)]]&gt;0.6,"wysoka",IF(Processed_data[[#This Row],[Marża (Margin)]]&gt;0.3,"średnia","niska"))</f>
        <v>średnia</v>
      </c>
      <c r="L142">
        <f>MONTH(Raw_Data[[#This Row],[Data zamów. (Order date)]])</f>
        <v>4</v>
      </c>
      <c r="M142" t="str">
        <f>TEXT(Raw_Data[[#This Row],[Data zamów. (Order date)]], "MMMM")</f>
        <v>kwiecień</v>
      </c>
      <c r="N142">
        <f>IF(Processed_data[[#This Row],[Miesiąc (Month)]]&lt;=3,1,IF(Processed_data[[#This Row],[Miesiąc (Month)]]&lt;=6,2,IF(Processed_data[[#This Row],[Miesiąc (Month)]]&lt;=9,3,4)))</f>
        <v>2</v>
      </c>
    </row>
    <row r="143" spans="1:14" x14ac:dyDescent="0.25">
      <c r="A143" s="6" t="str">
        <f>Raw_Data[[#This Row],[ID zamów. (Order ID)]]</f>
        <v>ORD0142</v>
      </c>
      <c r="B143" s="6" t="str">
        <f>Raw_Data[[#This Row],[ID klienta (Client ID)]]</f>
        <v>CUST3822</v>
      </c>
      <c r="C143" s="6" t="str">
        <f>_xlfn.XLOOKUP(Raw_Data[[#This Row],[Produkt (Product)]],'Product lookup table'!$A$2:$A$20,'Product lookup table'!$B$2:$B$20)</f>
        <v>Outdoor</v>
      </c>
      <c r="D143" s="6" t="str">
        <f>Raw_Data[[#This Row],[Produkt (Product)]]</f>
        <v>Bidon</v>
      </c>
      <c r="E143" s="6" t="str">
        <f>Raw_Data[[#This Row],[Kanał sprzedaży (Marketplace)]]</f>
        <v>Amazon</v>
      </c>
      <c r="F143" s="6" t="str">
        <f>Raw_Data[[#This Row],[Miasto (City)]]</f>
        <v>Warszawa</v>
      </c>
      <c r="G143" s="6">
        <f>Raw_Data[[#This Row],[Ilość (Quant.)]]</f>
        <v>3</v>
      </c>
      <c r="H143" s="7">
        <f>Raw_Data[[#This Row],[Przychód brutto (Revenue)]]</f>
        <v>75.903642857142842</v>
      </c>
      <c r="I14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21.7952057142857</v>
      </c>
      <c r="J143" s="23">
        <f>Processed_data[[#This Row],[Zysk brutto
(Gross profit)]]/Processed_data[[#This Row],[Przychód brutto (Revenue)]]</f>
        <v>0.28714307896007235</v>
      </c>
      <c r="K143" t="str">
        <f>IF(Processed_data[[#This Row],[Marża (Margin)]]&gt;0.6,"wysoka",IF(Processed_data[[#This Row],[Marża (Margin)]]&gt;0.3,"średnia","niska"))</f>
        <v>niska</v>
      </c>
      <c r="L143">
        <f>MONTH(Raw_Data[[#This Row],[Data zamów. (Order date)]])</f>
        <v>8</v>
      </c>
      <c r="M143" t="str">
        <f>TEXT(Raw_Data[[#This Row],[Data zamów. (Order date)]], "MMMM")</f>
        <v>sierpień</v>
      </c>
      <c r="N143">
        <f>IF(Processed_data[[#This Row],[Miesiąc (Month)]]&lt;=3,1,IF(Processed_data[[#This Row],[Miesiąc (Month)]]&lt;=6,2,IF(Processed_data[[#This Row],[Miesiąc (Month)]]&lt;=9,3,4)))</f>
        <v>3</v>
      </c>
    </row>
    <row r="144" spans="1:14" x14ac:dyDescent="0.25">
      <c r="A144" s="6" t="str">
        <f>Raw_Data[[#This Row],[ID zamów. (Order ID)]]</f>
        <v>ORD0143</v>
      </c>
      <c r="B144" s="6" t="str">
        <f>Raw_Data[[#This Row],[ID klienta (Client ID)]]</f>
        <v>CUST3822</v>
      </c>
      <c r="C144" s="6" t="str">
        <f>_xlfn.XLOOKUP(Raw_Data[[#This Row],[Produkt (Product)]],'Product lookup table'!$A$2:$A$20,'Product lookup table'!$B$2:$B$20)</f>
        <v>Home</v>
      </c>
      <c r="D144" s="6" t="str">
        <f>Raw_Data[[#This Row],[Produkt (Product)]]</f>
        <v>Świeca zapachowa</v>
      </c>
      <c r="E144" s="6" t="str">
        <f>Raw_Data[[#This Row],[Kanał sprzedaży (Marketplace)]]</f>
        <v>Shopify</v>
      </c>
      <c r="F144" s="6" t="str">
        <f>Raw_Data[[#This Row],[Miasto (City)]]</f>
        <v>Warszawa</v>
      </c>
      <c r="G144" s="6">
        <f>Raw_Data[[#This Row],[Ilość (Quant.)]]</f>
        <v>5</v>
      </c>
      <c r="H144" s="7">
        <f>Raw_Data[[#This Row],[Przychód brutto (Revenue)]]</f>
        <v>209.7227272727273</v>
      </c>
      <c r="I14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109.7227272727273</v>
      </c>
      <c r="J144" s="23">
        <f>Processed_data[[#This Row],[Zysk brutto
(Gross profit)]]/Processed_data[[#This Row],[Przychód brutto (Revenue)]]</f>
        <v>0.52317995621925062</v>
      </c>
      <c r="K144" t="str">
        <f>IF(Processed_data[[#This Row],[Marża (Margin)]]&gt;0.6,"wysoka",IF(Processed_data[[#This Row],[Marża (Margin)]]&gt;0.3,"średnia","niska"))</f>
        <v>średnia</v>
      </c>
      <c r="L144">
        <f>MONTH(Raw_Data[[#This Row],[Data zamów. (Order date)]])</f>
        <v>8</v>
      </c>
      <c r="M144" t="str">
        <f>TEXT(Raw_Data[[#This Row],[Data zamów. (Order date)]], "MMMM")</f>
        <v>sierpień</v>
      </c>
      <c r="N144">
        <f>IF(Processed_data[[#This Row],[Miesiąc (Month)]]&lt;=3,1,IF(Processed_data[[#This Row],[Miesiąc (Month)]]&lt;=6,2,IF(Processed_data[[#This Row],[Miesiąc (Month)]]&lt;=9,3,4)))</f>
        <v>3</v>
      </c>
    </row>
    <row r="145" spans="1:14" x14ac:dyDescent="0.25">
      <c r="A145" s="6" t="str">
        <f>Raw_Data[[#This Row],[ID zamów. (Order ID)]]</f>
        <v>ORD0144</v>
      </c>
      <c r="B145" s="6" t="str">
        <f>Raw_Data[[#This Row],[ID klienta (Client ID)]]</f>
        <v>CUST1092</v>
      </c>
      <c r="C145" s="6" t="str">
        <f>_xlfn.XLOOKUP(Raw_Data[[#This Row],[Produkt (Product)]],'Product lookup table'!$A$2:$A$20,'Product lookup table'!$B$2:$B$20)</f>
        <v>Outdoor</v>
      </c>
      <c r="D145" s="6" t="str">
        <f>Raw_Data[[#This Row],[Produkt (Product)]]</f>
        <v>Buty trekkingowe</v>
      </c>
      <c r="E145" s="6" t="str">
        <f>Raw_Data[[#This Row],[Kanał sprzedaży (Marketplace)]]</f>
        <v>Allegro</v>
      </c>
      <c r="F145" s="6" t="str">
        <f>Raw_Data[[#This Row],[Miasto (City)]]</f>
        <v>Gdańsk</v>
      </c>
      <c r="G145" s="6">
        <f>Raw_Data[[#This Row],[Ilość (Quant.)]]</f>
        <v>3</v>
      </c>
      <c r="H145" s="7">
        <f>Raw_Data[[#This Row],[Przychód brutto (Revenue)]]</f>
        <v>1705.2893571428574</v>
      </c>
      <c r="I14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638.86620857142884</v>
      </c>
      <c r="J145" s="23">
        <f>Processed_data[[#This Row],[Zysk brutto
(Gross profit)]]/Processed_data[[#This Row],[Przychód brutto (Revenue)]]</f>
        <v>0.37463800843853445</v>
      </c>
      <c r="K145" t="str">
        <f>IF(Processed_data[[#This Row],[Marża (Margin)]]&gt;0.6,"wysoka",IF(Processed_data[[#This Row],[Marża (Margin)]]&gt;0.3,"średnia","niska"))</f>
        <v>średnia</v>
      </c>
      <c r="L145">
        <f>MONTH(Raw_Data[[#This Row],[Data zamów. (Order date)]])</f>
        <v>6</v>
      </c>
      <c r="M145" t="str">
        <f>TEXT(Raw_Data[[#This Row],[Data zamów. (Order date)]], "MMMM")</f>
        <v>czerwiec</v>
      </c>
      <c r="N145">
        <f>IF(Processed_data[[#This Row],[Miesiąc (Month)]]&lt;=3,1,IF(Processed_data[[#This Row],[Miesiąc (Month)]]&lt;=6,2,IF(Processed_data[[#This Row],[Miesiąc (Month)]]&lt;=9,3,4)))</f>
        <v>2</v>
      </c>
    </row>
    <row r="146" spans="1:14" x14ac:dyDescent="0.25">
      <c r="A146" s="6" t="str">
        <f>Raw_Data[[#This Row],[ID zamów. (Order ID)]]</f>
        <v>ORD0145</v>
      </c>
      <c r="B146" s="6" t="str">
        <f>Raw_Data[[#This Row],[ID klienta (Client ID)]]</f>
        <v>CUST1092</v>
      </c>
      <c r="C146" s="6" t="str">
        <f>_xlfn.XLOOKUP(Raw_Data[[#This Row],[Produkt (Product)]],'Product lookup table'!$A$2:$A$20,'Product lookup table'!$B$2:$B$20)</f>
        <v>Outdoor</v>
      </c>
      <c r="D146" s="6" t="str">
        <f>Raw_Data[[#This Row],[Produkt (Product)]]</f>
        <v>Namiot</v>
      </c>
      <c r="E146" s="6" t="str">
        <f>Raw_Data[[#This Row],[Kanał sprzedaży (Marketplace)]]</f>
        <v>Allegro</v>
      </c>
      <c r="F146" s="6" t="str">
        <f>Raw_Data[[#This Row],[Miasto (City)]]</f>
        <v>Gdańsk</v>
      </c>
      <c r="G146" s="6">
        <f>Raw_Data[[#This Row],[Ilość (Quant.)]]</f>
        <v>4</v>
      </c>
      <c r="H146" s="7">
        <f>Raw_Data[[#This Row],[Przychód brutto (Revenue)]]</f>
        <v>2445.8591428571426</v>
      </c>
      <c r="I14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810.19041142857122</v>
      </c>
      <c r="J146" s="23">
        <f>Processed_data[[#This Row],[Zysk brutto
(Gross profit)]]/Processed_data[[#This Row],[Przychód brutto (Revenue)]]</f>
        <v>0.33124982433867523</v>
      </c>
      <c r="K146" t="str">
        <f>IF(Processed_data[[#This Row],[Marża (Margin)]]&gt;0.6,"wysoka",IF(Processed_data[[#This Row],[Marża (Margin)]]&gt;0.3,"średnia","niska"))</f>
        <v>średnia</v>
      </c>
      <c r="L146">
        <f>MONTH(Raw_Data[[#This Row],[Data zamów. (Order date)]])</f>
        <v>10</v>
      </c>
      <c r="M146" t="str">
        <f>TEXT(Raw_Data[[#This Row],[Data zamów. (Order date)]], "MMMM")</f>
        <v>październik</v>
      </c>
      <c r="N146">
        <f>IF(Processed_data[[#This Row],[Miesiąc (Month)]]&lt;=3,1,IF(Processed_data[[#This Row],[Miesiąc (Month)]]&lt;=6,2,IF(Processed_data[[#This Row],[Miesiąc (Month)]]&lt;=9,3,4)))</f>
        <v>4</v>
      </c>
    </row>
    <row r="147" spans="1:14" x14ac:dyDescent="0.25">
      <c r="A147" s="6" t="str">
        <f>Raw_Data[[#This Row],[ID zamów. (Order ID)]]</f>
        <v>ORD0146</v>
      </c>
      <c r="B147" s="6" t="str">
        <f>Raw_Data[[#This Row],[ID klienta (Client ID)]]</f>
        <v>CUST1402</v>
      </c>
      <c r="C147" s="6" t="str">
        <f>_xlfn.XLOOKUP(Raw_Data[[#This Row],[Produkt (Product)]],'Product lookup table'!$A$2:$A$20,'Product lookup table'!$B$2:$B$20)</f>
        <v>Kosmetyki</v>
      </c>
      <c r="D147" s="6" t="str">
        <f>Raw_Data[[#This Row],[Produkt (Product)]]</f>
        <v>Krem do twarzy</v>
      </c>
      <c r="E147" s="6" t="str">
        <f>Raw_Data[[#This Row],[Kanał sprzedaży (Marketplace)]]</f>
        <v>Amazon</v>
      </c>
      <c r="F147" s="6" t="str">
        <f>Raw_Data[[#This Row],[Miasto (City)]]</f>
        <v>Warszawa</v>
      </c>
      <c r="G147" s="6">
        <f>Raw_Data[[#This Row],[Ilość (Quant.)]]</f>
        <v>3</v>
      </c>
      <c r="H147" s="7">
        <f>Raw_Data[[#This Row],[Przychód brutto (Revenue)]]</f>
        <v>192.94499999999999</v>
      </c>
      <c r="I14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94.791599999999988</v>
      </c>
      <c r="J147" s="23">
        <f>Processed_data[[#This Row],[Zysk brutto
(Gross profit)]]/Processed_data[[#This Row],[Przychód brutto (Revenue)]]</f>
        <v>0.49128819093524057</v>
      </c>
      <c r="K147" t="str">
        <f>IF(Processed_data[[#This Row],[Marża (Margin)]]&gt;0.6,"wysoka",IF(Processed_data[[#This Row],[Marża (Margin)]]&gt;0.3,"średnia","niska"))</f>
        <v>średnia</v>
      </c>
      <c r="L147">
        <f>MONTH(Raw_Data[[#This Row],[Data zamów. (Order date)]])</f>
        <v>8</v>
      </c>
      <c r="M147" t="str">
        <f>TEXT(Raw_Data[[#This Row],[Data zamów. (Order date)]], "MMMM")</f>
        <v>sierpień</v>
      </c>
      <c r="N147">
        <f>IF(Processed_data[[#This Row],[Miesiąc (Month)]]&lt;=3,1,IF(Processed_data[[#This Row],[Miesiąc (Month)]]&lt;=6,2,IF(Processed_data[[#This Row],[Miesiąc (Month)]]&lt;=9,3,4)))</f>
        <v>3</v>
      </c>
    </row>
    <row r="148" spans="1:14" x14ac:dyDescent="0.25">
      <c r="A148" s="6" t="str">
        <f>Raw_Data[[#This Row],[ID zamów. (Order ID)]]</f>
        <v>ORD0147</v>
      </c>
      <c r="B148" s="6" t="str">
        <f>Raw_Data[[#This Row],[ID klienta (Client ID)]]</f>
        <v>CUST1092</v>
      </c>
      <c r="C148" s="6" t="str">
        <f>_xlfn.XLOOKUP(Raw_Data[[#This Row],[Produkt (Product)]],'Product lookup table'!$A$2:$A$20,'Product lookup table'!$B$2:$B$20)</f>
        <v>Kosmetyki</v>
      </c>
      <c r="D148" s="6" t="str">
        <f>Raw_Data[[#This Row],[Produkt (Product)]]</f>
        <v>Paleta cieni</v>
      </c>
      <c r="E148" s="6" t="str">
        <f>Raw_Data[[#This Row],[Kanał sprzedaży (Marketplace)]]</f>
        <v>Allegro</v>
      </c>
      <c r="F148" s="6" t="str">
        <f>Raw_Data[[#This Row],[Miasto (City)]]</f>
        <v>Gdańsk</v>
      </c>
      <c r="G148" s="6">
        <f>Raw_Data[[#This Row],[Ilość (Quant.)]]</f>
        <v>5</v>
      </c>
      <c r="H148" s="7">
        <f>Raw_Data[[#This Row],[Przychód brutto (Revenue)]]</f>
        <v>453.51555555555547</v>
      </c>
      <c r="I14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217.23431111111103</v>
      </c>
      <c r="J148" s="23">
        <f>Processed_data[[#This Row],[Zysk brutto
(Gross profit)]]/Processed_data[[#This Row],[Przychód brutto (Revenue)]]</f>
        <v>0.47900079379857108</v>
      </c>
      <c r="K148" t="str">
        <f>IF(Processed_data[[#This Row],[Marża (Margin)]]&gt;0.6,"wysoka",IF(Processed_data[[#This Row],[Marża (Margin)]]&gt;0.3,"średnia","niska"))</f>
        <v>średnia</v>
      </c>
      <c r="L148">
        <f>MONTH(Raw_Data[[#This Row],[Data zamów. (Order date)]])</f>
        <v>11</v>
      </c>
      <c r="M148" t="str">
        <f>TEXT(Raw_Data[[#This Row],[Data zamów. (Order date)]], "MMMM")</f>
        <v>listopad</v>
      </c>
      <c r="N148">
        <f>IF(Processed_data[[#This Row],[Miesiąc (Month)]]&lt;=3,1,IF(Processed_data[[#This Row],[Miesiąc (Month)]]&lt;=6,2,IF(Processed_data[[#This Row],[Miesiąc (Month)]]&lt;=9,3,4)))</f>
        <v>4</v>
      </c>
    </row>
    <row r="149" spans="1:14" x14ac:dyDescent="0.25">
      <c r="A149" s="6" t="str">
        <f>Raw_Data[[#This Row],[ID zamów. (Order ID)]]</f>
        <v>ORD0148</v>
      </c>
      <c r="B149" s="6" t="str">
        <f>Raw_Data[[#This Row],[ID klienta (Client ID)]]</f>
        <v>CUST1092</v>
      </c>
      <c r="C149" s="6" t="str">
        <f>_xlfn.XLOOKUP(Raw_Data[[#This Row],[Produkt (Product)]],'Product lookup table'!$A$2:$A$20,'Product lookup table'!$B$2:$B$20)</f>
        <v>Outdoor</v>
      </c>
      <c r="D149" s="6" t="str">
        <f>Raw_Data[[#This Row],[Produkt (Product)]]</f>
        <v>Śpiwór</v>
      </c>
      <c r="E149" s="6" t="str">
        <f>Raw_Data[[#This Row],[Kanał sprzedaży (Marketplace)]]</f>
        <v>Empik Marketplace</v>
      </c>
      <c r="F149" s="6" t="str">
        <f>Raw_Data[[#This Row],[Miasto (City)]]</f>
        <v>Gdańsk</v>
      </c>
      <c r="G149" s="6">
        <f>Raw_Data[[#This Row],[Ilość (Quant.)]]</f>
        <v>4</v>
      </c>
      <c r="H149" s="7">
        <f>Raw_Data[[#This Row],[Przychód brutto (Revenue)]]</f>
        <v>1419.7088571428574</v>
      </c>
      <c r="I14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197.73797142857163</v>
      </c>
      <c r="J149" s="23">
        <f>Processed_data[[#This Row],[Zysk brutto
(Gross profit)]]/Processed_data[[#This Row],[Przychód brutto (Revenue)]]</f>
        <v>0.13928064929207831</v>
      </c>
      <c r="K149" t="str">
        <f>IF(Processed_data[[#This Row],[Marża (Margin)]]&gt;0.6,"wysoka",IF(Processed_data[[#This Row],[Marża (Margin)]]&gt;0.3,"średnia","niska"))</f>
        <v>niska</v>
      </c>
      <c r="L149">
        <f>MONTH(Raw_Data[[#This Row],[Data zamów. (Order date)]])</f>
        <v>10</v>
      </c>
      <c r="M149" t="str">
        <f>TEXT(Raw_Data[[#This Row],[Data zamów. (Order date)]], "MMMM")</f>
        <v>październik</v>
      </c>
      <c r="N149">
        <f>IF(Processed_data[[#This Row],[Miesiąc (Month)]]&lt;=3,1,IF(Processed_data[[#This Row],[Miesiąc (Month)]]&lt;=6,2,IF(Processed_data[[#This Row],[Miesiąc (Month)]]&lt;=9,3,4)))</f>
        <v>4</v>
      </c>
    </row>
    <row r="150" spans="1:14" x14ac:dyDescent="0.25">
      <c r="A150" s="6" t="str">
        <f>Raw_Data[[#This Row],[ID zamów. (Order ID)]]</f>
        <v>ORD0149</v>
      </c>
      <c r="B150" s="6" t="str">
        <f>Raw_Data[[#This Row],[ID klienta (Client ID)]]</f>
        <v>CUST8570</v>
      </c>
      <c r="C150" s="6" t="str">
        <f>_xlfn.XLOOKUP(Raw_Data[[#This Row],[Produkt (Product)]],'Product lookup table'!$A$2:$A$20,'Product lookup table'!$B$2:$B$20)</f>
        <v>Home</v>
      </c>
      <c r="D150" s="6" t="str">
        <f>Raw_Data[[#This Row],[Produkt (Product)]]</f>
        <v>Poduszka dekoracyjna</v>
      </c>
      <c r="E150" s="6" t="str">
        <f>Raw_Data[[#This Row],[Kanał sprzedaży (Marketplace)]]</f>
        <v>Amazon</v>
      </c>
      <c r="F150" s="6" t="str">
        <f>Raw_Data[[#This Row],[Miasto (City)]]</f>
        <v>Poznań</v>
      </c>
      <c r="G150" s="6">
        <f>Raw_Data[[#This Row],[Ilość (Quant.)]]</f>
        <v>2</v>
      </c>
      <c r="H150" s="7">
        <f>Raw_Data[[#This Row],[Przychód brutto (Revenue)]]</f>
        <v>151.62545454545455</v>
      </c>
      <c r="I15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73.430399999999992</v>
      </c>
      <c r="J150" s="23">
        <f>Processed_data[[#This Row],[Zysk brutto
(Gross profit)]]/Processed_data[[#This Row],[Przychód brutto (Revenue)]]</f>
        <v>0.48428807827901282</v>
      </c>
      <c r="K150" t="str">
        <f>IF(Processed_data[[#This Row],[Marża (Margin)]]&gt;0.6,"wysoka",IF(Processed_data[[#This Row],[Marża (Margin)]]&gt;0.3,"średnia","niska"))</f>
        <v>średnia</v>
      </c>
      <c r="L150">
        <f>MONTH(Raw_Data[[#This Row],[Data zamów. (Order date)]])</f>
        <v>11</v>
      </c>
      <c r="M150" t="str">
        <f>TEXT(Raw_Data[[#This Row],[Data zamów. (Order date)]], "MMMM")</f>
        <v>listopad</v>
      </c>
      <c r="N150">
        <f>IF(Processed_data[[#This Row],[Miesiąc (Month)]]&lt;=3,1,IF(Processed_data[[#This Row],[Miesiąc (Month)]]&lt;=6,2,IF(Processed_data[[#This Row],[Miesiąc (Month)]]&lt;=9,3,4)))</f>
        <v>4</v>
      </c>
    </row>
    <row r="151" spans="1:14" x14ac:dyDescent="0.25">
      <c r="A151" s="6" t="str">
        <f>Raw_Data[[#This Row],[ID zamów. (Order ID)]]</f>
        <v>ORD0150</v>
      </c>
      <c r="B151" s="6" t="str">
        <f>Raw_Data[[#This Row],[ID klienta (Client ID)]]</f>
        <v>CUST8570</v>
      </c>
      <c r="C151" s="6" t="str">
        <f>_xlfn.XLOOKUP(Raw_Data[[#This Row],[Produkt (Product)]],'Product lookup table'!$A$2:$A$20,'Product lookup table'!$B$2:$B$20)</f>
        <v>Outdoor</v>
      </c>
      <c r="D151" s="6" t="str">
        <f>Raw_Data[[#This Row],[Produkt (Product)]]</f>
        <v>Latarka</v>
      </c>
      <c r="E151" s="6" t="str">
        <f>Raw_Data[[#This Row],[Kanał sprzedaży (Marketplace)]]</f>
        <v>Empik Marketplace</v>
      </c>
      <c r="F151" s="6" t="str">
        <f>Raw_Data[[#This Row],[Miasto (City)]]</f>
        <v>Poznań</v>
      </c>
      <c r="G151" s="6">
        <f>Raw_Data[[#This Row],[Ilość (Quant.)]]</f>
        <v>2</v>
      </c>
      <c r="H151" s="7">
        <f>Raw_Data[[#This Row],[Przychód brutto (Revenue)]]</f>
        <v>91.940999999999988</v>
      </c>
      <c r="I15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26.746899999999989</v>
      </c>
      <c r="J151" s="23">
        <f>Processed_data[[#This Row],[Zysk brutto
(Gross profit)]]/Processed_data[[#This Row],[Przychód brutto (Revenue)]]</f>
        <v>0.29091373815816657</v>
      </c>
      <c r="K151" t="str">
        <f>IF(Processed_data[[#This Row],[Marża (Margin)]]&gt;0.6,"wysoka",IF(Processed_data[[#This Row],[Marża (Margin)]]&gt;0.3,"średnia","niska"))</f>
        <v>niska</v>
      </c>
      <c r="L151">
        <f>MONTH(Raw_Data[[#This Row],[Data zamów. (Order date)]])</f>
        <v>5</v>
      </c>
      <c r="M151" t="str">
        <f>TEXT(Raw_Data[[#This Row],[Data zamów. (Order date)]], "MMMM")</f>
        <v>maj</v>
      </c>
      <c r="N151">
        <f>IF(Processed_data[[#This Row],[Miesiąc (Month)]]&lt;=3,1,IF(Processed_data[[#This Row],[Miesiąc (Month)]]&lt;=6,2,IF(Processed_data[[#This Row],[Miesiąc (Month)]]&lt;=9,3,4)))</f>
        <v>2</v>
      </c>
    </row>
    <row r="152" spans="1:14" x14ac:dyDescent="0.25">
      <c r="A152" s="6" t="str">
        <f>Raw_Data[[#This Row],[ID zamów. (Order ID)]]</f>
        <v>ORD0151</v>
      </c>
      <c r="B152" s="6" t="str">
        <f>Raw_Data[[#This Row],[ID klienta (Client ID)]]</f>
        <v>CUST8570</v>
      </c>
      <c r="C152" s="6" t="str">
        <f>_xlfn.XLOOKUP(Raw_Data[[#This Row],[Produkt (Product)]],'Product lookup table'!$A$2:$A$20,'Product lookup table'!$B$2:$B$20)</f>
        <v>Elektronika</v>
      </c>
      <c r="D152" s="6" t="str">
        <f>Raw_Data[[#This Row],[Produkt (Product)]]</f>
        <v>Powerbank</v>
      </c>
      <c r="E152" s="6" t="str">
        <f>Raw_Data[[#This Row],[Kanał sprzedaży (Marketplace)]]</f>
        <v>Amazon</v>
      </c>
      <c r="F152" s="6" t="str">
        <f>Raw_Data[[#This Row],[Miasto (City)]]</f>
        <v>Poznań</v>
      </c>
      <c r="G152" s="6">
        <f>Raw_Data[[#This Row],[Ilość (Quant.)]]</f>
        <v>5</v>
      </c>
      <c r="H152" s="7">
        <f>Raw_Data[[#This Row],[Przychód brutto (Revenue)]]</f>
        <v>460.25608695652176</v>
      </c>
      <c r="I15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5.0253565217391483</v>
      </c>
      <c r="J152" s="23">
        <f>Processed_data[[#This Row],[Zysk brutto
(Gross profit)]]/Processed_data[[#This Row],[Przychód brutto (Revenue)]]</f>
        <v>1.0918609583133813E-2</v>
      </c>
      <c r="K152" t="str">
        <f>IF(Processed_data[[#This Row],[Marża (Margin)]]&gt;0.6,"wysoka",IF(Processed_data[[#This Row],[Marża (Margin)]]&gt;0.3,"średnia","niska"))</f>
        <v>niska</v>
      </c>
      <c r="L152">
        <f>MONTH(Raw_Data[[#This Row],[Data zamów. (Order date)]])</f>
        <v>9</v>
      </c>
      <c r="M152" t="str">
        <f>TEXT(Raw_Data[[#This Row],[Data zamów. (Order date)]], "MMMM")</f>
        <v>wrzesień</v>
      </c>
      <c r="N152">
        <f>IF(Processed_data[[#This Row],[Miesiąc (Month)]]&lt;=3,1,IF(Processed_data[[#This Row],[Miesiąc (Month)]]&lt;=6,2,IF(Processed_data[[#This Row],[Miesiąc (Month)]]&lt;=9,3,4)))</f>
        <v>3</v>
      </c>
    </row>
    <row r="153" spans="1:14" x14ac:dyDescent="0.25">
      <c r="A153" s="6" t="str">
        <f>Raw_Data[[#This Row],[ID zamów. (Order ID)]]</f>
        <v>ORD0152</v>
      </c>
      <c r="B153" s="6" t="str">
        <f>Raw_Data[[#This Row],[ID klienta (Client ID)]]</f>
        <v>CUST6257</v>
      </c>
      <c r="C153" s="6" t="str">
        <f>_xlfn.XLOOKUP(Raw_Data[[#This Row],[Produkt (Product)]],'Product lookup table'!$A$2:$A$20,'Product lookup table'!$B$2:$B$20)</f>
        <v>Outdoor</v>
      </c>
      <c r="D153" s="6" t="str">
        <f>Raw_Data[[#This Row],[Produkt (Product)]]</f>
        <v>Namiot</v>
      </c>
      <c r="E153" s="6" t="str">
        <f>Raw_Data[[#This Row],[Kanał sprzedaży (Marketplace)]]</f>
        <v>Amazon</v>
      </c>
      <c r="F153" s="6" t="str">
        <f>Raw_Data[[#This Row],[Miasto (City)]]</f>
        <v>Warszawa</v>
      </c>
      <c r="G153" s="6">
        <f>Raw_Data[[#This Row],[Ilość (Quant.)]]</f>
        <v>3</v>
      </c>
      <c r="H153" s="7">
        <f>Raw_Data[[#This Row],[Przychód brutto (Revenue)]]</f>
        <v>1483.0388571428571</v>
      </c>
      <c r="I15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225.07419428571421</v>
      </c>
      <c r="J153" s="23">
        <f>Processed_data[[#This Row],[Zysk brutto
(Gross profit)]]/Processed_data[[#This Row],[Przychód brutto (Revenue)]]</f>
        <v>0.15176554087013611</v>
      </c>
      <c r="K153" t="str">
        <f>IF(Processed_data[[#This Row],[Marża (Margin)]]&gt;0.6,"wysoka",IF(Processed_data[[#This Row],[Marża (Margin)]]&gt;0.3,"średnia","niska"))</f>
        <v>niska</v>
      </c>
      <c r="L153">
        <f>MONTH(Raw_Data[[#This Row],[Data zamów. (Order date)]])</f>
        <v>4</v>
      </c>
      <c r="M153" t="str">
        <f>TEXT(Raw_Data[[#This Row],[Data zamów. (Order date)]], "MMMM")</f>
        <v>kwiecień</v>
      </c>
      <c r="N153">
        <f>IF(Processed_data[[#This Row],[Miesiąc (Month)]]&lt;=3,1,IF(Processed_data[[#This Row],[Miesiąc (Month)]]&lt;=6,2,IF(Processed_data[[#This Row],[Miesiąc (Month)]]&lt;=9,3,4)))</f>
        <v>2</v>
      </c>
    </row>
    <row r="154" spans="1:14" x14ac:dyDescent="0.25">
      <c r="A154" s="6" t="str">
        <f>Raw_Data[[#This Row],[ID zamów. (Order ID)]]</f>
        <v>ORD0153</v>
      </c>
      <c r="B154" s="6" t="str">
        <f>Raw_Data[[#This Row],[ID klienta (Client ID)]]</f>
        <v>CUST6257</v>
      </c>
      <c r="C154" s="6" t="str">
        <f>_xlfn.XLOOKUP(Raw_Data[[#This Row],[Produkt (Product)]],'Product lookup table'!$A$2:$A$20,'Product lookup table'!$B$2:$B$20)</f>
        <v>Kosmetyki</v>
      </c>
      <c r="D154" s="6" t="str">
        <f>Raw_Data[[#This Row],[Produkt (Product)]]</f>
        <v>Szampon</v>
      </c>
      <c r="E154" s="6" t="str">
        <f>Raw_Data[[#This Row],[Kanał sprzedaży (Marketplace)]]</f>
        <v>Empik Marketplace</v>
      </c>
      <c r="F154" s="6" t="str">
        <f>Raw_Data[[#This Row],[Miasto (City)]]</f>
        <v>Warszawa</v>
      </c>
      <c r="G154" s="6">
        <f>Raw_Data[[#This Row],[Ilość (Quant.)]]</f>
        <v>5</v>
      </c>
      <c r="H154" s="7">
        <f>Raw_Data[[#This Row],[Przychód brutto (Revenue)]]</f>
        <v>47.42222222222221</v>
      </c>
      <c r="I15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25.179999999999989</v>
      </c>
      <c r="J154" s="23">
        <f>Processed_data[[#This Row],[Zysk brutto
(Gross profit)]]/Processed_data[[#This Row],[Przychód brutto (Revenue)]]</f>
        <v>0.53097469540768505</v>
      </c>
      <c r="K154" t="str">
        <f>IF(Processed_data[[#This Row],[Marża (Margin)]]&gt;0.6,"wysoka",IF(Processed_data[[#This Row],[Marża (Margin)]]&gt;0.3,"średnia","niska"))</f>
        <v>średnia</v>
      </c>
      <c r="L154">
        <f>MONTH(Raw_Data[[#This Row],[Data zamów. (Order date)]])</f>
        <v>2</v>
      </c>
      <c r="M154" t="str">
        <f>TEXT(Raw_Data[[#This Row],[Data zamów. (Order date)]], "MMMM")</f>
        <v>luty</v>
      </c>
      <c r="N154">
        <f>IF(Processed_data[[#This Row],[Miesiąc (Month)]]&lt;=3,1,IF(Processed_data[[#This Row],[Miesiąc (Month)]]&lt;=6,2,IF(Processed_data[[#This Row],[Miesiąc (Month)]]&lt;=9,3,4)))</f>
        <v>1</v>
      </c>
    </row>
    <row r="155" spans="1:14" x14ac:dyDescent="0.25">
      <c r="A155" s="6" t="str">
        <f>Raw_Data[[#This Row],[ID zamów. (Order ID)]]</f>
        <v>ORD0154</v>
      </c>
      <c r="B155" s="6" t="str">
        <f>Raw_Data[[#This Row],[ID klienta (Client ID)]]</f>
        <v>CUST6257</v>
      </c>
      <c r="C155" s="6" t="str">
        <f>_xlfn.XLOOKUP(Raw_Data[[#This Row],[Produkt (Product)]],'Product lookup table'!$A$2:$A$20,'Product lookup table'!$B$2:$B$20)</f>
        <v>Kosmetyki</v>
      </c>
      <c r="D155" s="6" t="str">
        <f>Raw_Data[[#This Row],[Produkt (Product)]]</f>
        <v>Krem do twarzy</v>
      </c>
      <c r="E155" s="6" t="str">
        <f>Raw_Data[[#This Row],[Kanał sprzedaży (Marketplace)]]</f>
        <v>Allegro</v>
      </c>
      <c r="F155" s="6" t="str">
        <f>Raw_Data[[#This Row],[Miasto (City)]]</f>
        <v>Warszawa</v>
      </c>
      <c r="G155" s="6">
        <f>Raw_Data[[#This Row],[Ilość (Quant.)]]</f>
        <v>2</v>
      </c>
      <c r="H155" s="7">
        <f>Raw_Data[[#This Row],[Przychód brutto (Revenue)]]</f>
        <v>130.42200000000003</v>
      </c>
      <c r="I15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69.988240000000019</v>
      </c>
      <c r="J155" s="23">
        <f>Processed_data[[#This Row],[Zysk brutto
(Gross profit)]]/Processed_data[[#This Row],[Przychód brutto (Revenue)]]</f>
        <v>0.53662909631810585</v>
      </c>
      <c r="K155" t="str">
        <f>IF(Processed_data[[#This Row],[Marża (Margin)]]&gt;0.6,"wysoka",IF(Processed_data[[#This Row],[Marża (Margin)]]&gt;0.3,"średnia","niska"))</f>
        <v>średnia</v>
      </c>
      <c r="L155">
        <f>MONTH(Raw_Data[[#This Row],[Data zamów. (Order date)]])</f>
        <v>3</v>
      </c>
      <c r="M155" t="str">
        <f>TEXT(Raw_Data[[#This Row],[Data zamów. (Order date)]], "MMMM")</f>
        <v>marzec</v>
      </c>
      <c r="N155">
        <f>IF(Processed_data[[#This Row],[Miesiąc (Month)]]&lt;=3,1,IF(Processed_data[[#This Row],[Miesiąc (Month)]]&lt;=6,2,IF(Processed_data[[#This Row],[Miesiąc (Month)]]&lt;=9,3,4)))</f>
        <v>1</v>
      </c>
    </row>
    <row r="156" spans="1:14" x14ac:dyDescent="0.25">
      <c r="A156" s="6" t="str">
        <f>Raw_Data[[#This Row],[ID zamów. (Order ID)]]</f>
        <v>ORD0155</v>
      </c>
      <c r="B156" s="6" t="str">
        <f>Raw_Data[[#This Row],[ID klienta (Client ID)]]</f>
        <v>CUST6257</v>
      </c>
      <c r="C156" s="6" t="str">
        <f>_xlfn.XLOOKUP(Raw_Data[[#This Row],[Produkt (Product)]],'Product lookup table'!$A$2:$A$20,'Product lookup table'!$B$2:$B$20)</f>
        <v>Kosmetyki</v>
      </c>
      <c r="D156" s="6" t="str">
        <f>Raw_Data[[#This Row],[Produkt (Product)]]</f>
        <v>Olejek</v>
      </c>
      <c r="E156" s="6" t="str">
        <f>Raw_Data[[#This Row],[Kanał sprzedaży (Marketplace)]]</f>
        <v>Amazon</v>
      </c>
      <c r="F156" s="6" t="str">
        <f>Raw_Data[[#This Row],[Miasto (City)]]</f>
        <v>Warszawa</v>
      </c>
      <c r="G156" s="6">
        <f>Raw_Data[[#This Row],[Ilość (Quant.)]]</f>
        <v>4</v>
      </c>
      <c r="H156" s="7">
        <f>Raw_Data[[#This Row],[Przychód brutto (Revenue)]]</f>
        <v>63.16</v>
      </c>
      <c r="I15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35.580799999999996</v>
      </c>
      <c r="J156" s="23">
        <f>Processed_data[[#This Row],[Zysk brutto
(Gross profit)]]/Processed_data[[#This Row],[Przychód brutto (Revenue)]]</f>
        <v>0.56334388853704875</v>
      </c>
      <c r="K156" t="str">
        <f>IF(Processed_data[[#This Row],[Marża (Margin)]]&gt;0.6,"wysoka",IF(Processed_data[[#This Row],[Marża (Margin)]]&gt;0.3,"średnia","niska"))</f>
        <v>średnia</v>
      </c>
      <c r="L156">
        <f>MONTH(Raw_Data[[#This Row],[Data zamów. (Order date)]])</f>
        <v>4</v>
      </c>
      <c r="M156" t="str">
        <f>TEXT(Raw_Data[[#This Row],[Data zamów. (Order date)]], "MMMM")</f>
        <v>kwiecień</v>
      </c>
      <c r="N156">
        <f>IF(Processed_data[[#This Row],[Miesiąc (Month)]]&lt;=3,1,IF(Processed_data[[#This Row],[Miesiąc (Month)]]&lt;=6,2,IF(Processed_data[[#This Row],[Miesiąc (Month)]]&lt;=9,3,4)))</f>
        <v>2</v>
      </c>
    </row>
    <row r="157" spans="1:14" x14ac:dyDescent="0.25">
      <c r="A157" s="6" t="str">
        <f>Raw_Data[[#This Row],[ID zamów. (Order ID)]]</f>
        <v>ORD0156</v>
      </c>
      <c r="B157" s="6" t="str">
        <f>Raw_Data[[#This Row],[ID klienta (Client ID)]]</f>
        <v>CUST6257</v>
      </c>
      <c r="C157" s="6" t="str">
        <f>_xlfn.XLOOKUP(Raw_Data[[#This Row],[Produkt (Product)]],'Product lookup table'!$A$2:$A$20,'Product lookup table'!$B$2:$B$20)</f>
        <v>Outdoor</v>
      </c>
      <c r="D157" s="6" t="str">
        <f>Raw_Data[[#This Row],[Produkt (Product)]]</f>
        <v>Śpiwór</v>
      </c>
      <c r="E157" s="6" t="str">
        <f>Raw_Data[[#This Row],[Kanał sprzedaży (Marketplace)]]</f>
        <v>Allegro</v>
      </c>
      <c r="F157" s="6" t="str">
        <f>Raw_Data[[#This Row],[Miasto (City)]]</f>
        <v>Warszawa</v>
      </c>
      <c r="G157" s="6">
        <f>Raw_Data[[#This Row],[Ilość (Quant.)]]</f>
        <v>1</v>
      </c>
      <c r="H157" s="7">
        <f>Raw_Data[[#This Row],[Przychód brutto (Revenue)]]</f>
        <v>418.6690714285715</v>
      </c>
      <c r="I15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115.17554571428578</v>
      </c>
      <c r="J157" s="23">
        <f>Processed_data[[#This Row],[Zysk brutto
(Gross profit)]]/Processed_data[[#This Row],[Przychód brutto (Revenue)]]</f>
        <v>0.27509924561966526</v>
      </c>
      <c r="K157" t="str">
        <f>IF(Processed_data[[#This Row],[Marża (Margin)]]&gt;0.6,"wysoka",IF(Processed_data[[#This Row],[Marża (Margin)]]&gt;0.3,"średnia","niska"))</f>
        <v>niska</v>
      </c>
      <c r="L157">
        <f>MONTH(Raw_Data[[#This Row],[Data zamów. (Order date)]])</f>
        <v>2</v>
      </c>
      <c r="M157" t="str">
        <f>TEXT(Raw_Data[[#This Row],[Data zamów. (Order date)]], "MMMM")</f>
        <v>luty</v>
      </c>
      <c r="N157">
        <f>IF(Processed_data[[#This Row],[Miesiąc (Month)]]&lt;=3,1,IF(Processed_data[[#This Row],[Miesiąc (Month)]]&lt;=6,2,IF(Processed_data[[#This Row],[Miesiąc (Month)]]&lt;=9,3,4)))</f>
        <v>1</v>
      </c>
    </row>
    <row r="158" spans="1:14" x14ac:dyDescent="0.25">
      <c r="A158" s="6" t="str">
        <f>Raw_Data[[#This Row],[ID zamów. (Order ID)]]</f>
        <v>ORD0157</v>
      </c>
      <c r="B158" s="6" t="str">
        <f>Raw_Data[[#This Row],[ID klienta (Client ID)]]</f>
        <v>CUST1402</v>
      </c>
      <c r="C158" s="6" t="str">
        <f>_xlfn.XLOOKUP(Raw_Data[[#This Row],[Produkt (Product)]],'Product lookup table'!$A$2:$A$20,'Product lookup table'!$B$2:$B$20)</f>
        <v>Outdoor</v>
      </c>
      <c r="D158" s="6" t="str">
        <f>Raw_Data[[#This Row],[Produkt (Product)]]</f>
        <v>Buty trekkingowe</v>
      </c>
      <c r="E158" s="6" t="str">
        <f>Raw_Data[[#This Row],[Kanał sprzedaży (Marketplace)]]</f>
        <v>Allegro</v>
      </c>
      <c r="F158" s="6" t="str">
        <f>Raw_Data[[#This Row],[Miasto (City)]]</f>
        <v>Warszawa</v>
      </c>
      <c r="G158" s="6">
        <f>Raw_Data[[#This Row],[Ilość (Quant.)]]</f>
        <v>3</v>
      </c>
      <c r="H158" s="7">
        <f>Raw_Data[[#This Row],[Przychód brutto (Revenue)]]</f>
        <v>1569.1842857142856</v>
      </c>
      <c r="I15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513.64954285714271</v>
      </c>
      <c r="J158" s="23">
        <f>Processed_data[[#This Row],[Zysk brutto
(Gross profit)]]/Processed_data[[#This Row],[Przychód brutto (Revenue)]]</f>
        <v>0.32733538535490225</v>
      </c>
      <c r="K158" t="str">
        <f>IF(Processed_data[[#This Row],[Marża (Margin)]]&gt;0.6,"wysoka",IF(Processed_data[[#This Row],[Marża (Margin)]]&gt;0.3,"średnia","niska"))</f>
        <v>średnia</v>
      </c>
      <c r="L158">
        <f>MONTH(Raw_Data[[#This Row],[Data zamów. (Order date)]])</f>
        <v>6</v>
      </c>
      <c r="M158" t="str">
        <f>TEXT(Raw_Data[[#This Row],[Data zamów. (Order date)]], "MMMM")</f>
        <v>czerwiec</v>
      </c>
      <c r="N158">
        <f>IF(Processed_data[[#This Row],[Miesiąc (Month)]]&lt;=3,1,IF(Processed_data[[#This Row],[Miesiąc (Month)]]&lt;=6,2,IF(Processed_data[[#This Row],[Miesiąc (Month)]]&lt;=9,3,4)))</f>
        <v>2</v>
      </c>
    </row>
    <row r="159" spans="1:14" x14ac:dyDescent="0.25">
      <c r="A159" s="6" t="str">
        <f>Raw_Data[[#This Row],[ID zamów. (Order ID)]]</f>
        <v>ORD0158</v>
      </c>
      <c r="B159" s="6" t="str">
        <f>Raw_Data[[#This Row],[ID klienta (Client ID)]]</f>
        <v>CUST4999</v>
      </c>
      <c r="C159" s="6" t="str">
        <f>_xlfn.XLOOKUP(Raw_Data[[#This Row],[Produkt (Product)]],'Product lookup table'!$A$2:$A$20,'Product lookup table'!$B$2:$B$20)</f>
        <v>Outdoor</v>
      </c>
      <c r="D159" s="6" t="str">
        <f>Raw_Data[[#This Row],[Produkt (Product)]]</f>
        <v>Latarka</v>
      </c>
      <c r="E159" s="6" t="str">
        <f>Raw_Data[[#This Row],[Kanał sprzedaży (Marketplace)]]</f>
        <v>Shopify</v>
      </c>
      <c r="F159" s="6" t="str">
        <f>Raw_Data[[#This Row],[Miasto (City)]]</f>
        <v>Warszawa</v>
      </c>
      <c r="G159" s="6">
        <f>Raw_Data[[#This Row],[Ilość (Quant.)]]</f>
        <v>4</v>
      </c>
      <c r="H159" s="7">
        <f>Raw_Data[[#This Row],[Przychód brutto (Revenue)]]</f>
        <v>160.34399999999999</v>
      </c>
      <c r="I15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48.343999999999994</v>
      </c>
      <c r="J159" s="23">
        <f>Processed_data[[#This Row],[Zysk brutto
(Gross profit)]]/Processed_data[[#This Row],[Przychód brutto (Revenue)]]</f>
        <v>0.30150177119193733</v>
      </c>
      <c r="K159" t="str">
        <f>IF(Processed_data[[#This Row],[Marża (Margin)]]&gt;0.6,"wysoka",IF(Processed_data[[#This Row],[Marża (Margin)]]&gt;0.3,"średnia","niska"))</f>
        <v>średnia</v>
      </c>
      <c r="L159">
        <f>MONTH(Raw_Data[[#This Row],[Data zamów. (Order date)]])</f>
        <v>10</v>
      </c>
      <c r="M159" t="str">
        <f>TEXT(Raw_Data[[#This Row],[Data zamów. (Order date)]], "MMMM")</f>
        <v>październik</v>
      </c>
      <c r="N159">
        <f>IF(Processed_data[[#This Row],[Miesiąc (Month)]]&lt;=3,1,IF(Processed_data[[#This Row],[Miesiąc (Month)]]&lt;=6,2,IF(Processed_data[[#This Row],[Miesiąc (Month)]]&lt;=9,3,4)))</f>
        <v>4</v>
      </c>
    </row>
    <row r="160" spans="1:14" x14ac:dyDescent="0.25">
      <c r="A160" s="6" t="str">
        <f>Raw_Data[[#This Row],[ID zamów. (Order ID)]]</f>
        <v>ORD0159</v>
      </c>
      <c r="B160" s="6" t="str">
        <f>Raw_Data[[#This Row],[ID klienta (Client ID)]]</f>
        <v>CUST4999</v>
      </c>
      <c r="C160" s="6" t="str">
        <f>_xlfn.XLOOKUP(Raw_Data[[#This Row],[Produkt (Product)]],'Product lookup table'!$A$2:$A$20,'Product lookup table'!$B$2:$B$20)</f>
        <v>Kosmetyki</v>
      </c>
      <c r="D160" s="6" t="str">
        <f>Raw_Data[[#This Row],[Produkt (Product)]]</f>
        <v>Serum</v>
      </c>
      <c r="E160" s="6" t="str">
        <f>Raw_Data[[#This Row],[Kanał sprzedaży (Marketplace)]]</f>
        <v>Shopify</v>
      </c>
      <c r="F160" s="6" t="str">
        <f>Raw_Data[[#This Row],[Miasto (City)]]</f>
        <v>Warszawa</v>
      </c>
      <c r="G160" s="6">
        <f>Raw_Data[[#This Row],[Ilość (Quant.)]]</f>
        <v>3</v>
      </c>
      <c r="H160" s="7">
        <f>Raw_Data[[#This Row],[Przychód brutto (Revenue)]]</f>
        <v>189.976</v>
      </c>
      <c r="I16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99.975999999999999</v>
      </c>
      <c r="J160" s="23">
        <f>Processed_data[[#This Row],[Zysk brutto
(Gross profit)]]/Processed_data[[#This Row],[Przychód brutto (Revenue)]]</f>
        <v>0.52625594811976251</v>
      </c>
      <c r="K160" t="str">
        <f>IF(Processed_data[[#This Row],[Marża (Margin)]]&gt;0.6,"wysoka",IF(Processed_data[[#This Row],[Marża (Margin)]]&gt;0.3,"średnia","niska"))</f>
        <v>średnia</v>
      </c>
      <c r="L160">
        <f>MONTH(Raw_Data[[#This Row],[Data zamów. (Order date)]])</f>
        <v>11</v>
      </c>
      <c r="M160" t="str">
        <f>TEXT(Raw_Data[[#This Row],[Data zamów. (Order date)]], "MMMM")</f>
        <v>listopad</v>
      </c>
      <c r="N160">
        <f>IF(Processed_data[[#This Row],[Miesiąc (Month)]]&lt;=3,1,IF(Processed_data[[#This Row],[Miesiąc (Month)]]&lt;=6,2,IF(Processed_data[[#This Row],[Miesiąc (Month)]]&lt;=9,3,4)))</f>
        <v>4</v>
      </c>
    </row>
    <row r="161" spans="1:14" x14ac:dyDescent="0.25">
      <c r="A161" s="6" t="str">
        <f>Raw_Data[[#This Row],[ID zamów. (Order ID)]]</f>
        <v>ORD0160</v>
      </c>
      <c r="B161" s="6" t="str">
        <f>Raw_Data[[#This Row],[ID klienta (Client ID)]]</f>
        <v>CUST4999</v>
      </c>
      <c r="C161" s="6" t="str">
        <f>_xlfn.XLOOKUP(Raw_Data[[#This Row],[Produkt (Product)]],'Product lookup table'!$A$2:$A$20,'Product lookup table'!$B$2:$B$20)</f>
        <v>Outdoor</v>
      </c>
      <c r="D161" s="6" t="str">
        <f>Raw_Data[[#This Row],[Produkt (Product)]]</f>
        <v>Bidon</v>
      </c>
      <c r="E161" s="6" t="str">
        <f>Raw_Data[[#This Row],[Kanał sprzedaży (Marketplace)]]</f>
        <v>Shopify</v>
      </c>
      <c r="F161" s="6" t="str">
        <f>Raw_Data[[#This Row],[Miasto (City)]]</f>
        <v>Warszawa</v>
      </c>
      <c r="G161" s="6">
        <f>Raw_Data[[#This Row],[Ilość (Quant.)]]</f>
        <v>5</v>
      </c>
      <c r="H161" s="7">
        <f>Raw_Data[[#This Row],[Przychód brutto (Revenue)]]</f>
        <v>129.96678571428569</v>
      </c>
      <c r="I16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54.966785714285692</v>
      </c>
      <c r="J161" s="23">
        <f>Processed_data[[#This Row],[Zysk brutto
(Gross profit)]]/Processed_data[[#This Row],[Przychód brutto (Revenue)]]</f>
        <v>0.42292948473098885</v>
      </c>
      <c r="K161" t="str">
        <f>IF(Processed_data[[#This Row],[Marża (Margin)]]&gt;0.6,"wysoka",IF(Processed_data[[#This Row],[Marża (Margin)]]&gt;0.3,"średnia","niska"))</f>
        <v>średnia</v>
      </c>
      <c r="L161">
        <f>MONTH(Raw_Data[[#This Row],[Data zamów. (Order date)]])</f>
        <v>7</v>
      </c>
      <c r="M161" t="str">
        <f>TEXT(Raw_Data[[#This Row],[Data zamów. (Order date)]], "MMMM")</f>
        <v>lipiec</v>
      </c>
      <c r="N161">
        <f>IF(Processed_data[[#This Row],[Miesiąc (Month)]]&lt;=3,1,IF(Processed_data[[#This Row],[Miesiąc (Month)]]&lt;=6,2,IF(Processed_data[[#This Row],[Miesiąc (Month)]]&lt;=9,3,4)))</f>
        <v>3</v>
      </c>
    </row>
    <row r="162" spans="1:14" x14ac:dyDescent="0.25">
      <c r="A162" s="6" t="str">
        <f>Raw_Data[[#This Row],[ID zamów. (Order ID)]]</f>
        <v>ORD0161</v>
      </c>
      <c r="B162" s="6" t="str">
        <f>Raw_Data[[#This Row],[ID klienta (Client ID)]]</f>
        <v>CUST6209</v>
      </c>
      <c r="C162" s="6" t="str">
        <f>_xlfn.XLOOKUP(Raw_Data[[#This Row],[Produkt (Product)]],'Product lookup table'!$A$2:$A$20,'Product lookup table'!$B$2:$B$20)</f>
        <v>Outdoor</v>
      </c>
      <c r="D162" s="6" t="str">
        <f>Raw_Data[[#This Row],[Produkt (Product)]]</f>
        <v>Bidon</v>
      </c>
      <c r="E162" s="6" t="str">
        <f>Raw_Data[[#This Row],[Kanał sprzedaży (Marketplace)]]</f>
        <v>Empik Marketplace</v>
      </c>
      <c r="F162" s="6" t="str">
        <f>Raw_Data[[#This Row],[Miasto (City)]]</f>
        <v>Wrocław</v>
      </c>
      <c r="G162" s="6">
        <f>Raw_Data[[#This Row],[Ilość (Quant.)]]</f>
        <v>4</v>
      </c>
      <c r="H162" s="7">
        <f>Raw_Data[[#This Row],[Przychód brutto (Revenue)]]</f>
        <v>95.374285714285705</v>
      </c>
      <c r="I16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25.836857142857134</v>
      </c>
      <c r="J162" s="23">
        <f>Processed_data[[#This Row],[Zysk brutto
(Gross profit)]]/Processed_data[[#This Row],[Przychód brutto (Revenue)]]</f>
        <v>0.27089961355261971</v>
      </c>
      <c r="K162" t="str">
        <f>IF(Processed_data[[#This Row],[Marża (Margin)]]&gt;0.6,"wysoka",IF(Processed_data[[#This Row],[Marża (Margin)]]&gt;0.3,"średnia","niska"))</f>
        <v>niska</v>
      </c>
      <c r="L162">
        <f>MONTH(Raw_Data[[#This Row],[Data zamów. (Order date)]])</f>
        <v>7</v>
      </c>
      <c r="M162" t="str">
        <f>TEXT(Raw_Data[[#This Row],[Data zamów. (Order date)]], "MMMM")</f>
        <v>lipiec</v>
      </c>
      <c r="N162">
        <f>IF(Processed_data[[#This Row],[Miesiąc (Month)]]&lt;=3,1,IF(Processed_data[[#This Row],[Miesiąc (Month)]]&lt;=6,2,IF(Processed_data[[#This Row],[Miesiąc (Month)]]&lt;=9,3,4)))</f>
        <v>3</v>
      </c>
    </row>
    <row r="163" spans="1:14" x14ac:dyDescent="0.25">
      <c r="A163" s="6" t="str">
        <f>Raw_Data[[#This Row],[ID zamów. (Order ID)]]</f>
        <v>ORD0162</v>
      </c>
      <c r="B163" s="6" t="str">
        <f>Raw_Data[[#This Row],[ID klienta (Client ID)]]</f>
        <v>CUST6209</v>
      </c>
      <c r="C163" s="6" t="str">
        <f>_xlfn.XLOOKUP(Raw_Data[[#This Row],[Produkt (Product)]],'Product lookup table'!$A$2:$A$20,'Product lookup table'!$B$2:$B$20)</f>
        <v>Outdoor</v>
      </c>
      <c r="D163" s="6" t="str">
        <f>Raw_Data[[#This Row],[Produkt (Product)]]</f>
        <v>Buty trekkingowe</v>
      </c>
      <c r="E163" s="6" t="str">
        <f>Raw_Data[[#This Row],[Kanał sprzedaży (Marketplace)]]</f>
        <v>Empik Marketplace</v>
      </c>
      <c r="F163" s="6" t="str">
        <f>Raw_Data[[#This Row],[Miasto (City)]]</f>
        <v>Wrocław</v>
      </c>
      <c r="G163" s="6">
        <f>Raw_Data[[#This Row],[Ilość (Quant.)]]</f>
        <v>1</v>
      </c>
      <c r="H163" s="7">
        <f>Raw_Data[[#This Row],[Przychód brutto (Revenue)]]</f>
        <v>519.76892857142855</v>
      </c>
      <c r="I16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157.7920357142857</v>
      </c>
      <c r="J163" s="23">
        <f>Processed_data[[#This Row],[Zysk brutto
(Gross profit)]]/Processed_data[[#This Row],[Przychód brutto (Revenue)]]</f>
        <v>0.30358112430455014</v>
      </c>
      <c r="K163" t="str">
        <f>IF(Processed_data[[#This Row],[Marża (Margin)]]&gt;0.6,"wysoka",IF(Processed_data[[#This Row],[Marża (Margin)]]&gt;0.3,"średnia","niska"))</f>
        <v>średnia</v>
      </c>
      <c r="L163">
        <f>MONTH(Raw_Data[[#This Row],[Data zamów. (Order date)]])</f>
        <v>4</v>
      </c>
      <c r="M163" t="str">
        <f>TEXT(Raw_Data[[#This Row],[Data zamów. (Order date)]], "MMMM")</f>
        <v>kwiecień</v>
      </c>
      <c r="N163">
        <f>IF(Processed_data[[#This Row],[Miesiąc (Month)]]&lt;=3,1,IF(Processed_data[[#This Row],[Miesiąc (Month)]]&lt;=6,2,IF(Processed_data[[#This Row],[Miesiąc (Month)]]&lt;=9,3,4)))</f>
        <v>2</v>
      </c>
    </row>
    <row r="164" spans="1:14" x14ac:dyDescent="0.25">
      <c r="A164" s="6" t="str">
        <f>Raw_Data[[#This Row],[ID zamów. (Order ID)]]</f>
        <v>ORD0163</v>
      </c>
      <c r="B164" s="6" t="str">
        <f>Raw_Data[[#This Row],[ID klienta (Client ID)]]</f>
        <v>CUST6209</v>
      </c>
      <c r="C164" s="6" t="str">
        <f>_xlfn.XLOOKUP(Raw_Data[[#This Row],[Produkt (Product)]],'Product lookup table'!$A$2:$A$20,'Product lookup table'!$B$2:$B$20)</f>
        <v>Outdoor</v>
      </c>
      <c r="D164" s="6" t="str">
        <f>Raw_Data[[#This Row],[Produkt (Product)]]</f>
        <v>Buty trekkingowe</v>
      </c>
      <c r="E164" s="6" t="str">
        <f>Raw_Data[[#This Row],[Kanał sprzedaży (Marketplace)]]</f>
        <v>Empik Marketplace</v>
      </c>
      <c r="F164" s="6" t="str">
        <f>Raw_Data[[#This Row],[Miasto (City)]]</f>
        <v>Wrocław</v>
      </c>
      <c r="G164" s="6">
        <f>Raw_Data[[#This Row],[Ilość (Quant.)]]</f>
        <v>3</v>
      </c>
      <c r="H164" s="7">
        <f>Raw_Data[[#This Row],[Przychód brutto (Revenue)]]</f>
        <v>1462.8985714285716</v>
      </c>
      <c r="I16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386.60871428571443</v>
      </c>
      <c r="J164" s="23">
        <f>Processed_data[[#This Row],[Zysk brutto
(Gross profit)]]/Processed_data[[#This Row],[Przychód brutto (Revenue)]]</f>
        <v>0.26427581640754322</v>
      </c>
      <c r="K164" t="str">
        <f>IF(Processed_data[[#This Row],[Marża (Margin)]]&gt;0.6,"wysoka",IF(Processed_data[[#This Row],[Marża (Margin)]]&gt;0.3,"średnia","niska"))</f>
        <v>niska</v>
      </c>
      <c r="L164">
        <f>MONTH(Raw_Data[[#This Row],[Data zamów. (Order date)]])</f>
        <v>3</v>
      </c>
      <c r="M164" t="str">
        <f>TEXT(Raw_Data[[#This Row],[Data zamów. (Order date)]], "MMMM")</f>
        <v>marzec</v>
      </c>
      <c r="N164">
        <f>IF(Processed_data[[#This Row],[Miesiąc (Month)]]&lt;=3,1,IF(Processed_data[[#This Row],[Miesiąc (Month)]]&lt;=6,2,IF(Processed_data[[#This Row],[Miesiąc (Month)]]&lt;=9,3,4)))</f>
        <v>1</v>
      </c>
    </row>
    <row r="165" spans="1:14" x14ac:dyDescent="0.25">
      <c r="A165" s="6" t="str">
        <f>Raw_Data[[#This Row],[ID zamów. (Order ID)]]</f>
        <v>ORD0164</v>
      </c>
      <c r="B165" s="6" t="str">
        <f>Raw_Data[[#This Row],[ID klienta (Client ID)]]</f>
        <v>CUST6209</v>
      </c>
      <c r="C165" s="6" t="str">
        <f>_xlfn.XLOOKUP(Raw_Data[[#This Row],[Produkt (Product)]],'Product lookup table'!$A$2:$A$20,'Product lookup table'!$B$2:$B$20)</f>
        <v>Elektronika</v>
      </c>
      <c r="D165" s="6" t="str">
        <f>Raw_Data[[#This Row],[Produkt (Product)]]</f>
        <v>Myszka</v>
      </c>
      <c r="E165" s="6" t="str">
        <f>Raw_Data[[#This Row],[Kanał sprzedaży (Marketplace)]]</f>
        <v>Allegro</v>
      </c>
      <c r="F165" s="6" t="str">
        <f>Raw_Data[[#This Row],[Miasto (City)]]</f>
        <v>Wrocław</v>
      </c>
      <c r="G165" s="6">
        <f>Raw_Data[[#This Row],[Ilość (Quant.)]]</f>
        <v>3</v>
      </c>
      <c r="H165" s="7">
        <f>Raw_Data[[#This Row],[Przychód brutto (Revenue)]]</f>
        <v>281.13019565217388</v>
      </c>
      <c r="I16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48.639779999999973</v>
      </c>
      <c r="J165" s="23">
        <f>Processed_data[[#This Row],[Zysk brutto
(Gross profit)]]/Processed_data[[#This Row],[Przychód brutto (Revenue)]]</f>
        <v>0.17301513943446742</v>
      </c>
      <c r="K165" t="str">
        <f>IF(Processed_data[[#This Row],[Marża (Margin)]]&gt;0.6,"wysoka",IF(Processed_data[[#This Row],[Marża (Margin)]]&gt;0.3,"średnia","niska"))</f>
        <v>niska</v>
      </c>
      <c r="L165">
        <f>MONTH(Raw_Data[[#This Row],[Data zamów. (Order date)]])</f>
        <v>7</v>
      </c>
      <c r="M165" t="str">
        <f>TEXT(Raw_Data[[#This Row],[Data zamów. (Order date)]], "MMMM")</f>
        <v>lipiec</v>
      </c>
      <c r="N165">
        <f>IF(Processed_data[[#This Row],[Miesiąc (Month)]]&lt;=3,1,IF(Processed_data[[#This Row],[Miesiąc (Month)]]&lt;=6,2,IF(Processed_data[[#This Row],[Miesiąc (Month)]]&lt;=9,3,4)))</f>
        <v>3</v>
      </c>
    </row>
    <row r="166" spans="1:14" x14ac:dyDescent="0.25">
      <c r="A166" s="6" t="str">
        <f>Raw_Data[[#This Row],[ID zamów. (Order ID)]]</f>
        <v>ORD0165</v>
      </c>
      <c r="B166" s="6" t="str">
        <f>Raw_Data[[#This Row],[ID klienta (Client ID)]]</f>
        <v>CUST6209</v>
      </c>
      <c r="C166" s="6" t="str">
        <f>_xlfn.XLOOKUP(Raw_Data[[#This Row],[Produkt (Product)]],'Product lookup table'!$A$2:$A$20,'Product lookup table'!$B$2:$B$20)</f>
        <v>Outdoor</v>
      </c>
      <c r="D166" s="6" t="str">
        <f>Raw_Data[[#This Row],[Produkt (Product)]]</f>
        <v>Namiot</v>
      </c>
      <c r="E166" s="6" t="str">
        <f>Raw_Data[[#This Row],[Kanał sprzedaży (Marketplace)]]</f>
        <v>Allegro</v>
      </c>
      <c r="F166" s="6" t="str">
        <f>Raw_Data[[#This Row],[Miasto (City)]]</f>
        <v>Wrocław</v>
      </c>
      <c r="G166" s="6">
        <f>Raw_Data[[#This Row],[Ilość (Quant.)]]</f>
        <v>2</v>
      </c>
      <c r="H166" s="7">
        <f>Raw_Data[[#This Row],[Przychód brutto (Revenue)]]</f>
        <v>1369.8810000000001</v>
      </c>
      <c r="I16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540.29052000000001</v>
      </c>
      <c r="J166" s="23">
        <f>Processed_data[[#This Row],[Zysk brutto
(Gross profit)]]/Processed_data[[#This Row],[Przychód brutto (Revenue)]]</f>
        <v>0.39440690103738935</v>
      </c>
      <c r="K166" t="str">
        <f>IF(Processed_data[[#This Row],[Marża (Margin)]]&gt;0.6,"wysoka",IF(Processed_data[[#This Row],[Marża (Margin)]]&gt;0.3,"średnia","niska"))</f>
        <v>średnia</v>
      </c>
      <c r="L166">
        <f>MONTH(Raw_Data[[#This Row],[Data zamów. (Order date)]])</f>
        <v>8</v>
      </c>
      <c r="M166" t="str">
        <f>TEXT(Raw_Data[[#This Row],[Data zamów. (Order date)]], "MMMM")</f>
        <v>sierpień</v>
      </c>
      <c r="N166">
        <f>IF(Processed_data[[#This Row],[Miesiąc (Month)]]&lt;=3,1,IF(Processed_data[[#This Row],[Miesiąc (Month)]]&lt;=6,2,IF(Processed_data[[#This Row],[Miesiąc (Month)]]&lt;=9,3,4)))</f>
        <v>3</v>
      </c>
    </row>
    <row r="167" spans="1:14" x14ac:dyDescent="0.25">
      <c r="A167" s="6" t="str">
        <f>Raw_Data[[#This Row],[ID zamów. (Order ID)]]</f>
        <v>ORD0166</v>
      </c>
      <c r="B167" s="6" t="str">
        <f>Raw_Data[[#This Row],[ID klienta (Client ID)]]</f>
        <v>CUST1466</v>
      </c>
      <c r="C167" s="6" t="str">
        <f>_xlfn.XLOOKUP(Raw_Data[[#This Row],[Produkt (Product)]],'Product lookup table'!$A$2:$A$20,'Product lookup table'!$B$2:$B$20)</f>
        <v>Outdoor</v>
      </c>
      <c r="D167" s="6" t="str">
        <f>Raw_Data[[#This Row],[Produkt (Product)]]</f>
        <v>Śpiwór</v>
      </c>
      <c r="E167" s="6" t="str">
        <f>Raw_Data[[#This Row],[Kanał sprzedaży (Marketplace)]]</f>
        <v>Allegro</v>
      </c>
      <c r="F167" s="6" t="str">
        <f>Raw_Data[[#This Row],[Miasto (City)]]</f>
        <v>Poznań</v>
      </c>
      <c r="G167" s="6">
        <f>Raw_Data[[#This Row],[Ilość (Quant.)]]</f>
        <v>1</v>
      </c>
      <c r="H167" s="7">
        <f>Raw_Data[[#This Row],[Przychód brutto (Revenue)]]</f>
        <v>525.06142857142856</v>
      </c>
      <c r="I16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213.05651428571429</v>
      </c>
      <c r="J167" s="23">
        <f>Processed_data[[#This Row],[Zysk brutto
(Gross profit)]]/Processed_data[[#This Row],[Przychód brutto (Revenue)]]</f>
        <v>0.40577445360134734</v>
      </c>
      <c r="K167" t="str">
        <f>IF(Processed_data[[#This Row],[Marża (Margin)]]&gt;0.6,"wysoka",IF(Processed_data[[#This Row],[Marża (Margin)]]&gt;0.3,"średnia","niska"))</f>
        <v>średnia</v>
      </c>
      <c r="L167">
        <f>MONTH(Raw_Data[[#This Row],[Data zamów. (Order date)]])</f>
        <v>6</v>
      </c>
      <c r="M167" t="str">
        <f>TEXT(Raw_Data[[#This Row],[Data zamów. (Order date)]], "MMMM")</f>
        <v>czerwiec</v>
      </c>
      <c r="N167">
        <f>IF(Processed_data[[#This Row],[Miesiąc (Month)]]&lt;=3,1,IF(Processed_data[[#This Row],[Miesiąc (Month)]]&lt;=6,2,IF(Processed_data[[#This Row],[Miesiąc (Month)]]&lt;=9,3,4)))</f>
        <v>2</v>
      </c>
    </row>
    <row r="168" spans="1:14" x14ac:dyDescent="0.25">
      <c r="A168" s="6" t="str">
        <f>Raw_Data[[#This Row],[ID zamów. (Order ID)]]</f>
        <v>ORD0167</v>
      </c>
      <c r="B168" s="6" t="str">
        <f>Raw_Data[[#This Row],[ID klienta (Client ID)]]</f>
        <v>CUST1466</v>
      </c>
      <c r="C168" s="6" t="str">
        <f>_xlfn.XLOOKUP(Raw_Data[[#This Row],[Produkt (Product)]],'Product lookup table'!$A$2:$A$20,'Product lookup table'!$B$2:$B$20)</f>
        <v>Outdoor</v>
      </c>
      <c r="D168" s="6" t="str">
        <f>Raw_Data[[#This Row],[Produkt (Product)]]</f>
        <v>Latarka</v>
      </c>
      <c r="E168" s="6" t="str">
        <f>Raw_Data[[#This Row],[Kanał sprzedaży (Marketplace)]]</f>
        <v>Allegro</v>
      </c>
      <c r="F168" s="6" t="str">
        <f>Raw_Data[[#This Row],[Miasto (City)]]</f>
        <v>Poznań</v>
      </c>
      <c r="G168" s="6">
        <f>Raw_Data[[#This Row],[Ilość (Quant.)]]</f>
        <v>4</v>
      </c>
      <c r="H168" s="7">
        <f>Raw_Data[[#This Row],[Przychód brutto (Revenue)]]</f>
        <v>225.56000000000003</v>
      </c>
      <c r="I16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95.515200000000021</v>
      </c>
      <c r="J168" s="23">
        <f>Processed_data[[#This Row],[Zysk brutto
(Gross profit)]]/Processed_data[[#This Row],[Przychód brutto (Revenue)]]</f>
        <v>0.42345805993970564</v>
      </c>
      <c r="K168" t="str">
        <f>IF(Processed_data[[#This Row],[Marża (Margin)]]&gt;0.6,"wysoka",IF(Processed_data[[#This Row],[Marża (Margin)]]&gt;0.3,"średnia","niska"))</f>
        <v>średnia</v>
      </c>
      <c r="L168">
        <f>MONTH(Raw_Data[[#This Row],[Data zamów. (Order date)]])</f>
        <v>11</v>
      </c>
      <c r="M168" t="str">
        <f>TEXT(Raw_Data[[#This Row],[Data zamów. (Order date)]], "MMMM")</f>
        <v>listopad</v>
      </c>
      <c r="N168">
        <f>IF(Processed_data[[#This Row],[Miesiąc (Month)]]&lt;=3,1,IF(Processed_data[[#This Row],[Miesiąc (Month)]]&lt;=6,2,IF(Processed_data[[#This Row],[Miesiąc (Month)]]&lt;=9,3,4)))</f>
        <v>4</v>
      </c>
    </row>
    <row r="169" spans="1:14" x14ac:dyDescent="0.25">
      <c r="A169" s="6" t="str">
        <f>Raw_Data[[#This Row],[ID zamów. (Order ID)]]</f>
        <v>ORD0168</v>
      </c>
      <c r="B169" s="6" t="str">
        <f>Raw_Data[[#This Row],[ID klienta (Client ID)]]</f>
        <v>CUST1402</v>
      </c>
      <c r="C169" s="6" t="str">
        <f>_xlfn.XLOOKUP(Raw_Data[[#This Row],[Produkt (Product)]],'Product lookup table'!$A$2:$A$20,'Product lookup table'!$B$2:$B$20)</f>
        <v>Elektronika</v>
      </c>
      <c r="D169" s="6" t="str">
        <f>Raw_Data[[#This Row],[Produkt (Product)]]</f>
        <v>Klawiatura</v>
      </c>
      <c r="E169" s="6" t="str">
        <f>Raw_Data[[#This Row],[Kanał sprzedaży (Marketplace)]]</f>
        <v>Allegro</v>
      </c>
      <c r="F169" s="6" t="str">
        <f>Raw_Data[[#This Row],[Miasto (City)]]</f>
        <v>Warszawa</v>
      </c>
      <c r="G169" s="6">
        <f>Raw_Data[[#This Row],[Ilość (Quant.)]]</f>
        <v>5</v>
      </c>
      <c r="H169" s="7">
        <f>Raw_Data[[#This Row],[Przychód brutto (Revenue)]]</f>
        <v>599.65826086956531</v>
      </c>
      <c r="I16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1.6856000000000861</v>
      </c>
      <c r="J169" s="23">
        <f>Processed_data[[#This Row],[Zysk brutto
(Gross profit)]]/Processed_data[[#This Row],[Przychód brutto (Revenue)]]</f>
        <v>2.8109343437640552E-3</v>
      </c>
      <c r="K169" t="str">
        <f>IF(Processed_data[[#This Row],[Marża (Margin)]]&gt;0.6,"wysoka",IF(Processed_data[[#This Row],[Marża (Margin)]]&gt;0.3,"średnia","niska"))</f>
        <v>niska</v>
      </c>
      <c r="L169">
        <f>MONTH(Raw_Data[[#This Row],[Data zamów. (Order date)]])</f>
        <v>8</v>
      </c>
      <c r="M169" t="str">
        <f>TEXT(Raw_Data[[#This Row],[Data zamów. (Order date)]], "MMMM")</f>
        <v>sierpień</v>
      </c>
      <c r="N169">
        <f>IF(Processed_data[[#This Row],[Miesiąc (Month)]]&lt;=3,1,IF(Processed_data[[#This Row],[Miesiąc (Month)]]&lt;=6,2,IF(Processed_data[[#This Row],[Miesiąc (Month)]]&lt;=9,3,4)))</f>
        <v>3</v>
      </c>
    </row>
    <row r="170" spans="1:14" x14ac:dyDescent="0.25">
      <c r="A170" s="6" t="str">
        <f>Raw_Data[[#This Row],[ID zamów. (Order ID)]]</f>
        <v>ORD0169</v>
      </c>
      <c r="B170" s="6" t="str">
        <f>Raw_Data[[#This Row],[ID klienta (Client ID)]]</f>
        <v>CUST1466</v>
      </c>
      <c r="C170" s="6" t="str">
        <f>_xlfn.XLOOKUP(Raw_Data[[#This Row],[Produkt (Product)]],'Product lookup table'!$A$2:$A$20,'Product lookup table'!$B$2:$B$20)</f>
        <v>Kosmetyki</v>
      </c>
      <c r="D170" s="6" t="str">
        <f>Raw_Data[[#This Row],[Produkt (Product)]]</f>
        <v>Paleta cieni</v>
      </c>
      <c r="E170" s="6" t="str">
        <f>Raw_Data[[#This Row],[Kanał sprzedaży (Marketplace)]]</f>
        <v>Amazon</v>
      </c>
      <c r="F170" s="6" t="str">
        <f>Raw_Data[[#This Row],[Miasto (City)]]</f>
        <v>Poznań</v>
      </c>
      <c r="G170" s="6">
        <f>Raw_Data[[#This Row],[Ilość (Quant.)]]</f>
        <v>1</v>
      </c>
      <c r="H170" s="7">
        <f>Raw_Data[[#This Row],[Przychód brutto (Revenue)]]</f>
        <v>110.886</v>
      </c>
      <c r="I17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57.579679999999996</v>
      </c>
      <c r="J170" s="23">
        <f>Processed_data[[#This Row],[Zysk brutto
(Gross profit)]]/Processed_data[[#This Row],[Przychód brutto (Revenue)]]</f>
        <v>0.51926915931677575</v>
      </c>
      <c r="K170" t="str">
        <f>IF(Processed_data[[#This Row],[Marża (Margin)]]&gt;0.6,"wysoka",IF(Processed_data[[#This Row],[Marża (Margin)]]&gt;0.3,"średnia","niska"))</f>
        <v>średnia</v>
      </c>
      <c r="L170">
        <f>MONTH(Raw_Data[[#This Row],[Data zamów. (Order date)]])</f>
        <v>6</v>
      </c>
      <c r="M170" t="str">
        <f>TEXT(Raw_Data[[#This Row],[Data zamów. (Order date)]], "MMMM")</f>
        <v>czerwiec</v>
      </c>
      <c r="N170">
        <f>IF(Processed_data[[#This Row],[Miesiąc (Month)]]&lt;=3,1,IF(Processed_data[[#This Row],[Miesiąc (Month)]]&lt;=6,2,IF(Processed_data[[#This Row],[Miesiąc (Month)]]&lt;=9,3,4)))</f>
        <v>2</v>
      </c>
    </row>
    <row r="171" spans="1:14" x14ac:dyDescent="0.25">
      <c r="A171" s="6" t="str">
        <f>Raw_Data[[#This Row],[ID zamów. (Order ID)]]</f>
        <v>ORD0170</v>
      </c>
      <c r="B171" s="6" t="str">
        <f>Raw_Data[[#This Row],[ID klienta (Client ID)]]</f>
        <v>CUST1466</v>
      </c>
      <c r="C171" s="6" t="str">
        <f>_xlfn.XLOOKUP(Raw_Data[[#This Row],[Produkt (Product)]],'Product lookup table'!$A$2:$A$20,'Product lookup table'!$B$2:$B$20)</f>
        <v>Outdoor</v>
      </c>
      <c r="D171" s="6" t="str">
        <f>Raw_Data[[#This Row],[Produkt (Product)]]</f>
        <v>Bidon</v>
      </c>
      <c r="E171" s="6" t="str">
        <f>Raw_Data[[#This Row],[Kanał sprzedaży (Marketplace)]]</f>
        <v>Allegro</v>
      </c>
      <c r="F171" s="6" t="str">
        <f>Raw_Data[[#This Row],[Miasto (City)]]</f>
        <v>Poznań</v>
      </c>
      <c r="G171" s="6">
        <f>Raw_Data[[#This Row],[Ilość (Quant.)]]</f>
        <v>2</v>
      </c>
      <c r="H171" s="7">
        <f>Raw_Data[[#This Row],[Przychód brutto (Revenue)]]</f>
        <v>57.551428571428566</v>
      </c>
      <c r="I17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22.947314285714281</v>
      </c>
      <c r="J171" s="23">
        <f>Processed_data[[#This Row],[Zysk brutto
(Gross profit)]]/Processed_data[[#This Row],[Przychód brutto (Revenue)]]</f>
        <v>0.39872710122623239</v>
      </c>
      <c r="K171" t="str">
        <f>IF(Processed_data[[#This Row],[Marża (Margin)]]&gt;0.6,"wysoka",IF(Processed_data[[#This Row],[Marża (Margin)]]&gt;0.3,"średnia","niska"))</f>
        <v>średnia</v>
      </c>
      <c r="L171">
        <f>MONTH(Raw_Data[[#This Row],[Data zamów. (Order date)]])</f>
        <v>7</v>
      </c>
      <c r="M171" t="str">
        <f>TEXT(Raw_Data[[#This Row],[Data zamów. (Order date)]], "MMMM")</f>
        <v>lipiec</v>
      </c>
      <c r="N171">
        <f>IF(Processed_data[[#This Row],[Miesiąc (Month)]]&lt;=3,1,IF(Processed_data[[#This Row],[Miesiąc (Month)]]&lt;=6,2,IF(Processed_data[[#This Row],[Miesiąc (Month)]]&lt;=9,3,4)))</f>
        <v>3</v>
      </c>
    </row>
    <row r="172" spans="1:14" x14ac:dyDescent="0.25">
      <c r="A172" s="6" t="str">
        <f>Raw_Data[[#This Row],[ID zamów. (Order ID)]]</f>
        <v>ORD0171</v>
      </c>
      <c r="B172" s="6" t="str">
        <f>Raw_Data[[#This Row],[ID klienta (Client ID)]]</f>
        <v>CUST1571</v>
      </c>
      <c r="C172" s="6" t="str">
        <f>_xlfn.XLOOKUP(Raw_Data[[#This Row],[Produkt (Product)]],'Product lookup table'!$A$2:$A$20,'Product lookup table'!$B$2:$B$20)</f>
        <v>Kosmetyki</v>
      </c>
      <c r="D172" s="6" t="str">
        <f>Raw_Data[[#This Row],[Produkt (Product)]]</f>
        <v>Żel pod prysznic</v>
      </c>
      <c r="E172" s="6" t="str">
        <f>Raw_Data[[#This Row],[Kanał sprzedaży (Marketplace)]]</f>
        <v>Shopify</v>
      </c>
      <c r="F172" s="6" t="str">
        <f>Raw_Data[[#This Row],[Miasto (City)]]</f>
        <v>Poznań</v>
      </c>
      <c r="G172" s="6">
        <f>Raw_Data[[#This Row],[Ilość (Quant.)]]</f>
        <v>2</v>
      </c>
      <c r="H172" s="7">
        <f>Raw_Data[[#This Row],[Przychód brutto (Revenue)]]</f>
        <v>15.857777777777779</v>
      </c>
      <c r="I17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10.857777777777779</v>
      </c>
      <c r="J172" s="23">
        <f>Processed_data[[#This Row],[Zysk brutto
(Gross profit)]]/Processed_data[[#This Row],[Przychód brutto (Revenue)]]</f>
        <v>0.68469730941704032</v>
      </c>
      <c r="K172" t="str">
        <f>IF(Processed_data[[#This Row],[Marża (Margin)]]&gt;0.6,"wysoka",IF(Processed_data[[#This Row],[Marża (Margin)]]&gt;0.3,"średnia","niska"))</f>
        <v>wysoka</v>
      </c>
      <c r="L172">
        <f>MONTH(Raw_Data[[#This Row],[Data zamów. (Order date)]])</f>
        <v>3</v>
      </c>
      <c r="M172" t="str">
        <f>TEXT(Raw_Data[[#This Row],[Data zamów. (Order date)]], "MMMM")</f>
        <v>marzec</v>
      </c>
      <c r="N172">
        <f>IF(Processed_data[[#This Row],[Miesiąc (Month)]]&lt;=3,1,IF(Processed_data[[#This Row],[Miesiąc (Month)]]&lt;=6,2,IF(Processed_data[[#This Row],[Miesiąc (Month)]]&lt;=9,3,4)))</f>
        <v>1</v>
      </c>
    </row>
    <row r="173" spans="1:14" x14ac:dyDescent="0.25">
      <c r="A173" s="6" t="str">
        <f>Raw_Data[[#This Row],[ID zamów. (Order ID)]]</f>
        <v>ORD0172</v>
      </c>
      <c r="B173" s="6" t="str">
        <f>Raw_Data[[#This Row],[ID klienta (Client ID)]]</f>
        <v>CUST1571</v>
      </c>
      <c r="C173" s="6" t="str">
        <f>_xlfn.XLOOKUP(Raw_Data[[#This Row],[Produkt (Product)]],'Product lookup table'!$A$2:$A$20,'Product lookup table'!$B$2:$B$20)</f>
        <v>Outdoor</v>
      </c>
      <c r="D173" s="6" t="str">
        <f>Raw_Data[[#This Row],[Produkt (Product)]]</f>
        <v>Buty trekkingowe</v>
      </c>
      <c r="E173" s="6" t="str">
        <f>Raw_Data[[#This Row],[Kanał sprzedaży (Marketplace)]]</f>
        <v>Empik Marketplace</v>
      </c>
      <c r="F173" s="6" t="str">
        <f>Raw_Data[[#This Row],[Miasto (City)]]</f>
        <v>Poznań</v>
      </c>
      <c r="G173" s="6">
        <f>Raw_Data[[#This Row],[Ilość (Quant.)]]</f>
        <v>4</v>
      </c>
      <c r="H173" s="7">
        <f>Raw_Data[[#This Row],[Przychód brutto (Revenue)]]</f>
        <v>1843.6857142857143</v>
      </c>
      <c r="I17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419.31714285714287</v>
      </c>
      <c r="J173" s="23">
        <f>Processed_data[[#This Row],[Zysk brutto
(Gross profit)]]/Processed_data[[#This Row],[Przychód brutto (Revenue)]]</f>
        <v>0.22743417688171211</v>
      </c>
      <c r="K173" t="str">
        <f>IF(Processed_data[[#This Row],[Marża (Margin)]]&gt;0.6,"wysoka",IF(Processed_data[[#This Row],[Marża (Margin)]]&gt;0.3,"średnia","niska"))</f>
        <v>niska</v>
      </c>
      <c r="L173">
        <f>MONTH(Raw_Data[[#This Row],[Data zamów. (Order date)]])</f>
        <v>5</v>
      </c>
      <c r="M173" t="str">
        <f>TEXT(Raw_Data[[#This Row],[Data zamów. (Order date)]], "MMMM")</f>
        <v>maj</v>
      </c>
      <c r="N173">
        <f>IF(Processed_data[[#This Row],[Miesiąc (Month)]]&lt;=3,1,IF(Processed_data[[#This Row],[Miesiąc (Month)]]&lt;=6,2,IF(Processed_data[[#This Row],[Miesiąc (Month)]]&lt;=9,3,4)))</f>
        <v>2</v>
      </c>
    </row>
    <row r="174" spans="1:14" x14ac:dyDescent="0.25">
      <c r="A174" s="6" t="str">
        <f>Raw_Data[[#This Row],[ID zamów. (Order ID)]]</f>
        <v>ORD0173</v>
      </c>
      <c r="B174" s="6" t="str">
        <f>Raw_Data[[#This Row],[ID klienta (Client ID)]]</f>
        <v>CUST1571</v>
      </c>
      <c r="C174" s="6" t="str">
        <f>_xlfn.XLOOKUP(Raw_Data[[#This Row],[Produkt (Product)]],'Product lookup table'!$A$2:$A$20,'Product lookup table'!$B$2:$B$20)</f>
        <v>Elektronika</v>
      </c>
      <c r="D174" s="6" t="str">
        <f>Raw_Data[[#This Row],[Produkt (Product)]]</f>
        <v>Głośnik</v>
      </c>
      <c r="E174" s="6" t="str">
        <f>Raw_Data[[#This Row],[Kanał sprzedaży (Marketplace)]]</f>
        <v>Allegro</v>
      </c>
      <c r="F174" s="6" t="str">
        <f>Raw_Data[[#This Row],[Miasto (City)]]</f>
        <v>Poznań</v>
      </c>
      <c r="G174" s="6">
        <f>Raw_Data[[#This Row],[Ilość (Quant.)]]</f>
        <v>3</v>
      </c>
      <c r="H174" s="7">
        <f>Raw_Data[[#This Row],[Przychód brutto (Revenue)]]</f>
        <v>366.45384782608704</v>
      </c>
      <c r="I17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-52.862459999999921</v>
      </c>
      <c r="J174" s="23">
        <f>Processed_data[[#This Row],[Zysk brutto
(Gross profit)]]/Processed_data[[#This Row],[Przychód brutto (Revenue)]]</f>
        <v>-0.14425407268499355</v>
      </c>
      <c r="K174" t="str">
        <f>IF(Processed_data[[#This Row],[Marża (Margin)]]&gt;0.6,"wysoka",IF(Processed_data[[#This Row],[Marża (Margin)]]&gt;0.3,"średnia","niska"))</f>
        <v>niska</v>
      </c>
      <c r="L174">
        <f>MONTH(Raw_Data[[#This Row],[Data zamów. (Order date)]])</f>
        <v>12</v>
      </c>
      <c r="M174" t="str">
        <f>TEXT(Raw_Data[[#This Row],[Data zamów. (Order date)]], "MMMM")</f>
        <v>grudzień</v>
      </c>
      <c r="N174">
        <f>IF(Processed_data[[#This Row],[Miesiąc (Month)]]&lt;=3,1,IF(Processed_data[[#This Row],[Miesiąc (Month)]]&lt;=6,2,IF(Processed_data[[#This Row],[Miesiąc (Month)]]&lt;=9,3,4)))</f>
        <v>4</v>
      </c>
    </row>
    <row r="175" spans="1:14" x14ac:dyDescent="0.25">
      <c r="A175" s="6" t="str">
        <f>Raw_Data[[#This Row],[ID zamów. (Order ID)]]</f>
        <v>ORD0174</v>
      </c>
      <c r="B175" s="6" t="str">
        <f>Raw_Data[[#This Row],[ID klienta (Client ID)]]</f>
        <v>CUST6101</v>
      </c>
      <c r="C175" s="6" t="str">
        <f>_xlfn.XLOOKUP(Raw_Data[[#This Row],[Produkt (Product)]],'Product lookup table'!$A$2:$A$20,'Product lookup table'!$B$2:$B$20)</f>
        <v>Outdoor</v>
      </c>
      <c r="D175" s="6" t="str">
        <f>Raw_Data[[#This Row],[Produkt (Product)]]</f>
        <v>Namiot</v>
      </c>
      <c r="E175" s="6" t="str">
        <f>Raw_Data[[#This Row],[Kanał sprzedaży (Marketplace)]]</f>
        <v>Amazon</v>
      </c>
      <c r="F175" s="6" t="str">
        <f>Raw_Data[[#This Row],[Miasto (City)]]</f>
        <v>Warszawa</v>
      </c>
      <c r="G175" s="6">
        <f>Raw_Data[[#This Row],[Ilość (Quant.)]]</f>
        <v>1</v>
      </c>
      <c r="H175" s="7">
        <f>Raw_Data[[#This Row],[Przychód brutto (Revenue)]]</f>
        <v>581.49285714285713</v>
      </c>
      <c r="I17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151.71371428571427</v>
      </c>
      <c r="J175" s="23">
        <f>Processed_data[[#This Row],[Zysk brutto
(Gross profit)]]/Processed_data[[#This Row],[Przychód brutto (Revenue)]]</f>
        <v>0.26090383127172667</v>
      </c>
      <c r="K175" t="str">
        <f>IF(Processed_data[[#This Row],[Marża (Margin)]]&gt;0.6,"wysoka",IF(Processed_data[[#This Row],[Marża (Margin)]]&gt;0.3,"średnia","niska"))</f>
        <v>niska</v>
      </c>
      <c r="L175">
        <f>MONTH(Raw_Data[[#This Row],[Data zamów. (Order date)]])</f>
        <v>11</v>
      </c>
      <c r="M175" t="str">
        <f>TEXT(Raw_Data[[#This Row],[Data zamów. (Order date)]], "MMMM")</f>
        <v>listopad</v>
      </c>
      <c r="N175">
        <f>IF(Processed_data[[#This Row],[Miesiąc (Month)]]&lt;=3,1,IF(Processed_data[[#This Row],[Miesiąc (Month)]]&lt;=6,2,IF(Processed_data[[#This Row],[Miesiąc (Month)]]&lt;=9,3,4)))</f>
        <v>4</v>
      </c>
    </row>
    <row r="176" spans="1:14" x14ac:dyDescent="0.25">
      <c r="A176" s="6" t="str">
        <f>Raw_Data[[#This Row],[ID zamów. (Order ID)]]</f>
        <v>ORD0175</v>
      </c>
      <c r="B176" s="6" t="str">
        <f>Raw_Data[[#This Row],[ID klienta (Client ID)]]</f>
        <v>CUST6101</v>
      </c>
      <c r="C176" s="6" t="str">
        <f>_xlfn.XLOOKUP(Raw_Data[[#This Row],[Produkt (Product)]],'Product lookup table'!$A$2:$A$20,'Product lookup table'!$B$2:$B$20)</f>
        <v>Outdoor</v>
      </c>
      <c r="D176" s="6" t="str">
        <f>Raw_Data[[#This Row],[Produkt (Product)]]</f>
        <v>Namiot</v>
      </c>
      <c r="E176" s="6" t="str">
        <f>Raw_Data[[#This Row],[Kanał sprzedaży (Marketplace)]]</f>
        <v>Allegro</v>
      </c>
      <c r="F176" s="6" t="str">
        <f>Raw_Data[[#This Row],[Miasto (City)]]</f>
        <v>Warszawa</v>
      </c>
      <c r="G176" s="6">
        <f>Raw_Data[[#This Row],[Ilość (Quant.)]]</f>
        <v>1</v>
      </c>
      <c r="H176" s="7">
        <f>Raw_Data[[#This Row],[Przychód brutto (Revenue)]]</f>
        <v>570.02528571428581</v>
      </c>
      <c r="I17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164.42326285714296</v>
      </c>
      <c r="J176" s="23">
        <f>Processed_data[[#This Row],[Zysk brutto
(Gross profit)]]/Processed_data[[#This Row],[Przychód brutto (Revenue)]]</f>
        <v>0.28844906880070748</v>
      </c>
      <c r="K176" t="str">
        <f>IF(Processed_data[[#This Row],[Marża (Margin)]]&gt;0.6,"wysoka",IF(Processed_data[[#This Row],[Marża (Margin)]]&gt;0.3,"średnia","niska"))</f>
        <v>niska</v>
      </c>
      <c r="L176">
        <f>MONTH(Raw_Data[[#This Row],[Data zamów. (Order date)]])</f>
        <v>12</v>
      </c>
      <c r="M176" t="str">
        <f>TEXT(Raw_Data[[#This Row],[Data zamów. (Order date)]], "MMMM")</f>
        <v>grudzień</v>
      </c>
      <c r="N176">
        <f>IF(Processed_data[[#This Row],[Miesiąc (Month)]]&lt;=3,1,IF(Processed_data[[#This Row],[Miesiąc (Month)]]&lt;=6,2,IF(Processed_data[[#This Row],[Miesiąc (Month)]]&lt;=9,3,4)))</f>
        <v>4</v>
      </c>
    </row>
    <row r="177" spans="1:14" x14ac:dyDescent="0.25">
      <c r="A177" s="6" t="str">
        <f>Raw_Data[[#This Row],[ID zamów. (Order ID)]]</f>
        <v>ORD0176</v>
      </c>
      <c r="B177" s="6" t="str">
        <f>Raw_Data[[#This Row],[ID klienta (Client ID)]]</f>
        <v>CUST6101</v>
      </c>
      <c r="C177" s="6" t="str">
        <f>_xlfn.XLOOKUP(Raw_Data[[#This Row],[Produkt (Product)]],'Product lookup table'!$A$2:$A$20,'Product lookup table'!$B$2:$B$20)</f>
        <v>Outdoor</v>
      </c>
      <c r="D177" s="6" t="str">
        <f>Raw_Data[[#This Row],[Produkt (Product)]]</f>
        <v>Śpiwór</v>
      </c>
      <c r="E177" s="6" t="str">
        <f>Raw_Data[[#This Row],[Kanał sprzedaży (Marketplace)]]</f>
        <v>Shopify</v>
      </c>
      <c r="F177" s="6" t="str">
        <f>Raw_Data[[#This Row],[Miasto (City)]]</f>
        <v>Warszawa</v>
      </c>
      <c r="G177" s="6">
        <f>Raw_Data[[#This Row],[Ilość (Quant.)]]</f>
        <v>2</v>
      </c>
      <c r="H177" s="7">
        <f>Raw_Data[[#This Row],[Przychód brutto (Revenue)]]</f>
        <v>938.7221428571429</v>
      </c>
      <c r="I17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398.7221428571429</v>
      </c>
      <c r="J177" s="23">
        <f>Processed_data[[#This Row],[Zysk brutto
(Gross profit)]]/Processed_data[[#This Row],[Przychód brutto (Revenue)]]</f>
        <v>0.42474990697840759</v>
      </c>
      <c r="K177" t="str">
        <f>IF(Processed_data[[#This Row],[Marża (Margin)]]&gt;0.6,"wysoka",IF(Processed_data[[#This Row],[Marża (Margin)]]&gt;0.3,"średnia","niska"))</f>
        <v>średnia</v>
      </c>
      <c r="L177">
        <f>MONTH(Raw_Data[[#This Row],[Data zamów. (Order date)]])</f>
        <v>2</v>
      </c>
      <c r="M177" t="str">
        <f>TEXT(Raw_Data[[#This Row],[Data zamów. (Order date)]], "MMMM")</f>
        <v>luty</v>
      </c>
      <c r="N177">
        <f>IF(Processed_data[[#This Row],[Miesiąc (Month)]]&lt;=3,1,IF(Processed_data[[#This Row],[Miesiąc (Month)]]&lt;=6,2,IF(Processed_data[[#This Row],[Miesiąc (Month)]]&lt;=9,3,4)))</f>
        <v>1</v>
      </c>
    </row>
    <row r="178" spans="1:14" x14ac:dyDescent="0.25">
      <c r="A178" s="6" t="str">
        <f>Raw_Data[[#This Row],[ID zamów. (Order ID)]]</f>
        <v>ORD0177</v>
      </c>
      <c r="B178" s="6" t="str">
        <f>Raw_Data[[#This Row],[ID klienta (Client ID)]]</f>
        <v>CUST6101</v>
      </c>
      <c r="C178" s="6" t="str">
        <f>_xlfn.XLOOKUP(Raw_Data[[#This Row],[Produkt (Product)]],'Product lookup table'!$A$2:$A$20,'Product lookup table'!$B$2:$B$20)</f>
        <v>Home</v>
      </c>
      <c r="D178" s="6" t="str">
        <f>Raw_Data[[#This Row],[Produkt (Product)]]</f>
        <v>Wazon szklany</v>
      </c>
      <c r="E178" s="6" t="str">
        <f>Raw_Data[[#This Row],[Kanał sprzedaży (Marketplace)]]</f>
        <v>Allegro</v>
      </c>
      <c r="F178" s="6" t="str">
        <f>Raw_Data[[#This Row],[Miasto (City)]]</f>
        <v>Warszawa</v>
      </c>
      <c r="G178" s="6">
        <f>Raw_Data[[#This Row],[Ilość (Quant.)]]</f>
        <v>5</v>
      </c>
      <c r="H178" s="7">
        <f>Raw_Data[[#This Row],[Przychód brutto (Revenue)]]</f>
        <v>161.7681818181818</v>
      </c>
      <c r="I17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73.826727272727254</v>
      </c>
      <c r="J178" s="23">
        <f>Processed_data[[#This Row],[Zysk brutto
(Gross profit)]]/Processed_data[[#This Row],[Przychód brutto (Revenue)]]</f>
        <v>0.45637359858383203</v>
      </c>
      <c r="K178" t="str">
        <f>IF(Processed_data[[#This Row],[Marża (Margin)]]&gt;0.6,"wysoka",IF(Processed_data[[#This Row],[Marża (Margin)]]&gt;0.3,"średnia","niska"))</f>
        <v>średnia</v>
      </c>
      <c r="L178">
        <f>MONTH(Raw_Data[[#This Row],[Data zamów. (Order date)]])</f>
        <v>3</v>
      </c>
      <c r="M178" t="str">
        <f>TEXT(Raw_Data[[#This Row],[Data zamów. (Order date)]], "MMMM")</f>
        <v>marzec</v>
      </c>
      <c r="N178">
        <f>IF(Processed_data[[#This Row],[Miesiąc (Month)]]&lt;=3,1,IF(Processed_data[[#This Row],[Miesiąc (Month)]]&lt;=6,2,IF(Processed_data[[#This Row],[Miesiąc (Month)]]&lt;=9,3,4)))</f>
        <v>1</v>
      </c>
    </row>
    <row r="179" spans="1:14" x14ac:dyDescent="0.25">
      <c r="A179" s="6" t="str">
        <f>Raw_Data[[#This Row],[ID zamów. (Order ID)]]</f>
        <v>ORD0178</v>
      </c>
      <c r="B179" s="6" t="str">
        <f>Raw_Data[[#This Row],[ID klienta (Client ID)]]</f>
        <v>CUST6101</v>
      </c>
      <c r="C179" s="6" t="str">
        <f>_xlfn.XLOOKUP(Raw_Data[[#This Row],[Produkt (Product)]],'Product lookup table'!$A$2:$A$20,'Product lookup table'!$B$2:$B$20)</f>
        <v>Kosmetyki</v>
      </c>
      <c r="D179" s="6" t="str">
        <f>Raw_Data[[#This Row],[Produkt (Product)]]</f>
        <v>Szampon</v>
      </c>
      <c r="E179" s="6" t="str">
        <f>Raw_Data[[#This Row],[Kanał sprzedaży (Marketplace)]]</f>
        <v>Shopify</v>
      </c>
      <c r="F179" s="6" t="str">
        <f>Raw_Data[[#This Row],[Miasto (City)]]</f>
        <v>Warszawa</v>
      </c>
      <c r="G179" s="6">
        <f>Raw_Data[[#This Row],[Ilość (Quant.)]]</f>
        <v>1</v>
      </c>
      <c r="H179" s="7">
        <f>Raw_Data[[#This Row],[Przychód brutto (Revenue)]]</f>
        <v>8.9943888888888885</v>
      </c>
      <c r="I17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5.4943888888888885</v>
      </c>
      <c r="J179" s="23">
        <f>Processed_data[[#This Row],[Zysk brutto
(Gross profit)]]/Processed_data[[#This Row],[Przychód brutto (Revenue)]]</f>
        <v>0.61086850443795204</v>
      </c>
      <c r="K179" t="str">
        <f>IF(Processed_data[[#This Row],[Marża (Margin)]]&gt;0.6,"wysoka",IF(Processed_data[[#This Row],[Marża (Margin)]]&gt;0.3,"średnia","niska"))</f>
        <v>wysoka</v>
      </c>
      <c r="L179">
        <f>MONTH(Raw_Data[[#This Row],[Data zamów. (Order date)]])</f>
        <v>8</v>
      </c>
      <c r="M179" t="str">
        <f>TEXT(Raw_Data[[#This Row],[Data zamów. (Order date)]], "MMMM")</f>
        <v>sierpień</v>
      </c>
      <c r="N179">
        <f>IF(Processed_data[[#This Row],[Miesiąc (Month)]]&lt;=3,1,IF(Processed_data[[#This Row],[Miesiąc (Month)]]&lt;=6,2,IF(Processed_data[[#This Row],[Miesiąc (Month)]]&lt;=9,3,4)))</f>
        <v>3</v>
      </c>
    </row>
    <row r="180" spans="1:14" x14ac:dyDescent="0.25">
      <c r="A180" s="6" t="str">
        <f>Raw_Data[[#This Row],[ID zamów. (Order ID)]]</f>
        <v>ORD0179</v>
      </c>
      <c r="B180" s="6" t="str">
        <f>Raw_Data[[#This Row],[ID klienta (Client ID)]]</f>
        <v>CUST1402</v>
      </c>
      <c r="C180" s="6" t="str">
        <f>_xlfn.XLOOKUP(Raw_Data[[#This Row],[Produkt (Product)]],'Product lookup table'!$A$2:$A$20,'Product lookup table'!$B$2:$B$20)</f>
        <v>Outdoor</v>
      </c>
      <c r="D180" s="6" t="str">
        <f>Raw_Data[[#This Row],[Produkt (Product)]]</f>
        <v>Latarka</v>
      </c>
      <c r="E180" s="6" t="str">
        <f>Raw_Data[[#This Row],[Kanał sprzedaży (Marketplace)]]</f>
        <v>Empik Marketplace</v>
      </c>
      <c r="F180" s="6" t="str">
        <f>Raw_Data[[#This Row],[Miasto (City)]]</f>
        <v>Warszawa</v>
      </c>
      <c r="G180" s="6">
        <f>Raw_Data[[#This Row],[Ilość (Quant.)]]</f>
        <v>4</v>
      </c>
      <c r="H180" s="7">
        <f>Raw_Data[[#This Row],[Przychód brutto (Revenue)]]</f>
        <v>193.464</v>
      </c>
      <c r="I18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62.117599999999996</v>
      </c>
      <c r="J180" s="23">
        <f>Processed_data[[#This Row],[Zysk brutto
(Gross profit)]]/Processed_data[[#This Row],[Przychód brutto (Revenue)]]</f>
        <v>0.32108092461646609</v>
      </c>
      <c r="K180" t="str">
        <f>IF(Processed_data[[#This Row],[Marża (Margin)]]&gt;0.6,"wysoka",IF(Processed_data[[#This Row],[Marża (Margin)]]&gt;0.3,"średnia","niska"))</f>
        <v>średnia</v>
      </c>
      <c r="L180">
        <f>MONTH(Raw_Data[[#This Row],[Data zamów. (Order date)]])</f>
        <v>2</v>
      </c>
      <c r="M180" t="str">
        <f>TEXT(Raw_Data[[#This Row],[Data zamów. (Order date)]], "MMMM")</f>
        <v>luty</v>
      </c>
      <c r="N180">
        <f>IF(Processed_data[[#This Row],[Miesiąc (Month)]]&lt;=3,1,IF(Processed_data[[#This Row],[Miesiąc (Month)]]&lt;=6,2,IF(Processed_data[[#This Row],[Miesiąc (Month)]]&lt;=9,3,4)))</f>
        <v>1</v>
      </c>
    </row>
    <row r="181" spans="1:14" x14ac:dyDescent="0.25">
      <c r="A181" s="6" t="str">
        <f>Raw_Data[[#This Row],[ID zamów. (Order ID)]]</f>
        <v>ORD0180</v>
      </c>
      <c r="B181" s="6" t="str">
        <f>Raw_Data[[#This Row],[ID klienta (Client ID)]]</f>
        <v>CUST3289</v>
      </c>
      <c r="C181" s="6" t="str">
        <f>_xlfn.XLOOKUP(Raw_Data[[#This Row],[Produkt (Product)]],'Product lookup table'!$A$2:$A$20,'Product lookup table'!$B$2:$B$20)</f>
        <v>Kosmetyki</v>
      </c>
      <c r="D181" s="6" t="str">
        <f>Raw_Data[[#This Row],[Produkt (Product)]]</f>
        <v>Olejek</v>
      </c>
      <c r="E181" s="6" t="str">
        <f>Raw_Data[[#This Row],[Kanał sprzedaży (Marketplace)]]</f>
        <v>Amazon</v>
      </c>
      <c r="F181" s="6" t="str">
        <f>Raw_Data[[#This Row],[Miasto (City)]]</f>
        <v>Warszawa</v>
      </c>
      <c r="G181" s="6">
        <f>Raw_Data[[#This Row],[Ilość (Quant.)]]</f>
        <v>2</v>
      </c>
      <c r="H181" s="7">
        <f>Raw_Data[[#This Row],[Przychód brutto (Revenue)]]</f>
        <v>26.283888888888885</v>
      </c>
      <c r="I18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13.12982222222222</v>
      </c>
      <c r="J181" s="23">
        <f>Processed_data[[#This Row],[Zysk brutto
(Gross profit)]]/Processed_data[[#This Row],[Przychód brutto (Revenue)]]</f>
        <v>0.49953879647439281</v>
      </c>
      <c r="K181" t="str">
        <f>IF(Processed_data[[#This Row],[Marża (Margin)]]&gt;0.6,"wysoka",IF(Processed_data[[#This Row],[Marża (Margin)]]&gt;0.3,"średnia","niska"))</f>
        <v>średnia</v>
      </c>
      <c r="L181">
        <f>MONTH(Raw_Data[[#This Row],[Data zamów. (Order date)]])</f>
        <v>10</v>
      </c>
      <c r="M181" t="str">
        <f>TEXT(Raw_Data[[#This Row],[Data zamów. (Order date)]], "MMMM")</f>
        <v>październik</v>
      </c>
      <c r="N181">
        <f>IF(Processed_data[[#This Row],[Miesiąc (Month)]]&lt;=3,1,IF(Processed_data[[#This Row],[Miesiąc (Month)]]&lt;=6,2,IF(Processed_data[[#This Row],[Miesiąc (Month)]]&lt;=9,3,4)))</f>
        <v>4</v>
      </c>
    </row>
    <row r="182" spans="1:14" x14ac:dyDescent="0.25">
      <c r="A182" s="6" t="str">
        <f>Raw_Data[[#This Row],[ID zamów. (Order ID)]]</f>
        <v>ORD0181</v>
      </c>
      <c r="B182" s="6" t="str">
        <f>Raw_Data[[#This Row],[ID klienta (Client ID)]]</f>
        <v>CUST3289</v>
      </c>
      <c r="C182" s="6" t="str">
        <f>_xlfn.XLOOKUP(Raw_Data[[#This Row],[Produkt (Product)]],'Product lookup table'!$A$2:$A$20,'Product lookup table'!$B$2:$B$20)</f>
        <v>Outdoor</v>
      </c>
      <c r="D182" s="6" t="str">
        <f>Raw_Data[[#This Row],[Produkt (Product)]]</f>
        <v>Latarka</v>
      </c>
      <c r="E182" s="6" t="str">
        <f>Raw_Data[[#This Row],[Kanał sprzedaży (Marketplace)]]</f>
        <v>Empik Marketplace</v>
      </c>
      <c r="F182" s="6" t="str">
        <f>Raw_Data[[#This Row],[Miasto (City)]]</f>
        <v>Warszawa</v>
      </c>
      <c r="G182" s="6">
        <f>Raw_Data[[#This Row],[Ilość (Quant.)]]</f>
        <v>3</v>
      </c>
      <c r="H182" s="7">
        <f>Raw_Data[[#This Row],[Przychód brutto (Revenue)]]</f>
        <v>125.07000000000002</v>
      </c>
      <c r="I18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28.563000000000017</v>
      </c>
      <c r="J182" s="23">
        <f>Processed_data[[#This Row],[Zysk brutto
(Gross profit)]]/Processed_data[[#This Row],[Przychód brutto (Revenue)]]</f>
        <v>0.228376109378748</v>
      </c>
      <c r="K182" t="str">
        <f>IF(Processed_data[[#This Row],[Marża (Margin)]]&gt;0.6,"wysoka",IF(Processed_data[[#This Row],[Marża (Margin)]]&gt;0.3,"średnia","niska"))</f>
        <v>niska</v>
      </c>
      <c r="L182">
        <f>MONTH(Raw_Data[[#This Row],[Data zamów. (Order date)]])</f>
        <v>1</v>
      </c>
      <c r="M182" t="str">
        <f>TEXT(Raw_Data[[#This Row],[Data zamów. (Order date)]], "MMMM")</f>
        <v>styczeń</v>
      </c>
      <c r="N182">
        <f>IF(Processed_data[[#This Row],[Miesiąc (Month)]]&lt;=3,1,IF(Processed_data[[#This Row],[Miesiąc (Month)]]&lt;=6,2,IF(Processed_data[[#This Row],[Miesiąc (Month)]]&lt;=9,3,4)))</f>
        <v>1</v>
      </c>
    </row>
    <row r="183" spans="1:14" x14ac:dyDescent="0.25">
      <c r="A183" s="6" t="str">
        <f>Raw_Data[[#This Row],[ID zamów. (Order ID)]]</f>
        <v>ORD0182</v>
      </c>
      <c r="B183" s="6" t="str">
        <f>Raw_Data[[#This Row],[ID klienta (Client ID)]]</f>
        <v>CUST3289</v>
      </c>
      <c r="C183" s="6" t="str">
        <f>_xlfn.XLOOKUP(Raw_Data[[#This Row],[Produkt (Product)]],'Product lookup table'!$A$2:$A$20,'Product lookup table'!$B$2:$B$20)</f>
        <v>Kosmetyki</v>
      </c>
      <c r="D183" s="6" t="str">
        <f>Raw_Data[[#This Row],[Produkt (Product)]]</f>
        <v>Żel pod prysznic</v>
      </c>
      <c r="E183" s="6" t="str">
        <f>Raw_Data[[#This Row],[Kanał sprzedaży (Marketplace)]]</f>
        <v>Allegro</v>
      </c>
      <c r="F183" s="6" t="str">
        <f>Raw_Data[[#This Row],[Miasto (City)]]</f>
        <v>Warszawa</v>
      </c>
      <c r="G183" s="6">
        <f>Raw_Data[[#This Row],[Ilość (Quant.)]]</f>
        <v>1</v>
      </c>
      <c r="H183" s="7">
        <f>Raw_Data[[#This Row],[Przychód brutto (Revenue)]]</f>
        <v>7.0099444444444439</v>
      </c>
      <c r="I18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3.9491488888888884</v>
      </c>
      <c r="J183" s="23">
        <f>Processed_data[[#This Row],[Zysk brutto
(Gross profit)]]/Processed_data[[#This Row],[Przychód brutto (Revenue)]]</f>
        <v>0.56336379270718584</v>
      </c>
      <c r="K183" t="str">
        <f>IF(Processed_data[[#This Row],[Marża (Margin)]]&gt;0.6,"wysoka",IF(Processed_data[[#This Row],[Marża (Margin)]]&gt;0.3,"średnia","niska"))</f>
        <v>średnia</v>
      </c>
      <c r="L183">
        <f>MONTH(Raw_Data[[#This Row],[Data zamów. (Order date)]])</f>
        <v>4</v>
      </c>
      <c r="M183" t="str">
        <f>TEXT(Raw_Data[[#This Row],[Data zamów. (Order date)]], "MMMM")</f>
        <v>kwiecień</v>
      </c>
      <c r="N183">
        <f>IF(Processed_data[[#This Row],[Miesiąc (Month)]]&lt;=3,1,IF(Processed_data[[#This Row],[Miesiąc (Month)]]&lt;=6,2,IF(Processed_data[[#This Row],[Miesiąc (Month)]]&lt;=9,3,4)))</f>
        <v>2</v>
      </c>
    </row>
    <row r="184" spans="1:14" x14ac:dyDescent="0.25">
      <c r="A184" s="6" t="str">
        <f>Raw_Data[[#This Row],[ID zamów. (Order ID)]]</f>
        <v>ORD0183</v>
      </c>
      <c r="B184" s="6" t="str">
        <f>Raw_Data[[#This Row],[ID klienta (Client ID)]]</f>
        <v>CUST4653</v>
      </c>
      <c r="C184" s="6" t="str">
        <f>_xlfn.XLOOKUP(Raw_Data[[#This Row],[Produkt (Product)]],'Product lookup table'!$A$2:$A$20,'Product lookup table'!$B$2:$B$20)</f>
        <v>Outdoor</v>
      </c>
      <c r="D184" s="6" t="str">
        <f>Raw_Data[[#This Row],[Produkt (Product)]]</f>
        <v>Śpiwór</v>
      </c>
      <c r="E184" s="6" t="str">
        <f>Raw_Data[[#This Row],[Kanał sprzedaży (Marketplace)]]</f>
        <v>Allegro</v>
      </c>
      <c r="F184" s="6" t="str">
        <f>Raw_Data[[#This Row],[Miasto (City)]]</f>
        <v>Wrocław</v>
      </c>
      <c r="G184" s="6">
        <f>Raw_Data[[#This Row],[Ilość (Quant.)]]</f>
        <v>5</v>
      </c>
      <c r="H184" s="7">
        <f>Raw_Data[[#This Row],[Przychód brutto (Revenue)]]</f>
        <v>2029.95</v>
      </c>
      <c r="I18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517.55400000000009</v>
      </c>
      <c r="J184" s="23">
        <f>Processed_data[[#This Row],[Zysk brutto
(Gross profit)]]/Processed_data[[#This Row],[Przychód brutto (Revenue)]]</f>
        <v>0.25495898913766352</v>
      </c>
      <c r="K184" t="str">
        <f>IF(Processed_data[[#This Row],[Marża (Margin)]]&gt;0.6,"wysoka",IF(Processed_data[[#This Row],[Marża (Margin)]]&gt;0.3,"średnia","niska"))</f>
        <v>niska</v>
      </c>
      <c r="L184">
        <f>MONTH(Raw_Data[[#This Row],[Data zamów. (Order date)]])</f>
        <v>5</v>
      </c>
      <c r="M184" t="str">
        <f>TEXT(Raw_Data[[#This Row],[Data zamów. (Order date)]], "MMMM")</f>
        <v>maj</v>
      </c>
      <c r="N184">
        <f>IF(Processed_data[[#This Row],[Miesiąc (Month)]]&lt;=3,1,IF(Processed_data[[#This Row],[Miesiąc (Month)]]&lt;=6,2,IF(Processed_data[[#This Row],[Miesiąc (Month)]]&lt;=9,3,4)))</f>
        <v>2</v>
      </c>
    </row>
    <row r="185" spans="1:14" x14ac:dyDescent="0.25">
      <c r="A185" s="6" t="str">
        <f>Raw_Data[[#This Row],[ID zamów. (Order ID)]]</f>
        <v>ORD0184</v>
      </c>
      <c r="B185" s="6" t="str">
        <f>Raw_Data[[#This Row],[ID klienta (Client ID)]]</f>
        <v>CUST4653</v>
      </c>
      <c r="C185" s="6" t="str">
        <f>_xlfn.XLOOKUP(Raw_Data[[#This Row],[Produkt (Product)]],'Product lookup table'!$A$2:$A$20,'Product lookup table'!$B$2:$B$20)</f>
        <v>Outdoor</v>
      </c>
      <c r="D185" s="6" t="str">
        <f>Raw_Data[[#This Row],[Produkt (Product)]]</f>
        <v>Bidon</v>
      </c>
      <c r="E185" s="6" t="str">
        <f>Raw_Data[[#This Row],[Kanał sprzedaży (Marketplace)]]</f>
        <v>Shopify</v>
      </c>
      <c r="F185" s="6" t="str">
        <f>Raw_Data[[#This Row],[Miasto (City)]]</f>
        <v>Wrocław</v>
      </c>
      <c r="G185" s="6">
        <f>Raw_Data[[#This Row],[Ilość (Quant.)]]</f>
        <v>4</v>
      </c>
      <c r="H185" s="7">
        <f>Raw_Data[[#This Row],[Przychód brutto (Revenue)]]</f>
        <v>81.221142857142837</v>
      </c>
      <c r="I18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21.221142857142837</v>
      </c>
      <c r="J185" s="23">
        <f>Processed_data[[#This Row],[Zysk brutto
(Gross profit)]]/Processed_data[[#This Row],[Przychód brutto (Revenue)]]</f>
        <v>0.26127609278372255</v>
      </c>
      <c r="K185" t="str">
        <f>IF(Processed_data[[#This Row],[Marża (Margin)]]&gt;0.6,"wysoka",IF(Processed_data[[#This Row],[Marża (Margin)]]&gt;0.3,"średnia","niska"))</f>
        <v>niska</v>
      </c>
      <c r="L185">
        <f>MONTH(Raw_Data[[#This Row],[Data zamów. (Order date)]])</f>
        <v>9</v>
      </c>
      <c r="M185" t="str">
        <f>TEXT(Raw_Data[[#This Row],[Data zamów. (Order date)]], "MMMM")</f>
        <v>wrzesień</v>
      </c>
      <c r="N185">
        <f>IF(Processed_data[[#This Row],[Miesiąc (Month)]]&lt;=3,1,IF(Processed_data[[#This Row],[Miesiąc (Month)]]&lt;=6,2,IF(Processed_data[[#This Row],[Miesiąc (Month)]]&lt;=9,3,4)))</f>
        <v>3</v>
      </c>
    </row>
    <row r="186" spans="1:14" x14ac:dyDescent="0.25">
      <c r="A186" s="6" t="str">
        <f>Raw_Data[[#This Row],[ID zamów. (Order ID)]]</f>
        <v>ORD0185</v>
      </c>
      <c r="B186" s="6" t="str">
        <f>Raw_Data[[#This Row],[ID klienta (Client ID)]]</f>
        <v>CUST4653</v>
      </c>
      <c r="C186" s="6" t="str">
        <f>_xlfn.XLOOKUP(Raw_Data[[#This Row],[Produkt (Product)]],'Product lookup table'!$A$2:$A$20,'Product lookup table'!$B$2:$B$20)</f>
        <v>Kosmetyki</v>
      </c>
      <c r="D186" s="6" t="str">
        <f>Raw_Data[[#This Row],[Produkt (Product)]]</f>
        <v>Krem do twarzy</v>
      </c>
      <c r="E186" s="6" t="str">
        <f>Raw_Data[[#This Row],[Kanał sprzedaży (Marketplace)]]</f>
        <v>Empik Marketplace</v>
      </c>
      <c r="F186" s="6" t="str">
        <f>Raw_Data[[#This Row],[Miasto (City)]]</f>
        <v>Wrocław</v>
      </c>
      <c r="G186" s="6">
        <f>Raw_Data[[#This Row],[Ilość (Quant.)]]</f>
        <v>5</v>
      </c>
      <c r="H186" s="7">
        <f>Raw_Data[[#This Row],[Przychód brutto (Revenue)]]</f>
        <v>350.89833333333337</v>
      </c>
      <c r="I18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190.80850000000004</v>
      </c>
      <c r="J186" s="23">
        <f>Processed_data[[#This Row],[Zysk brutto
(Gross profit)]]/Processed_data[[#This Row],[Przychód brutto (Revenue)]]</f>
        <v>0.54377146276936816</v>
      </c>
      <c r="K186" t="str">
        <f>IF(Processed_data[[#This Row],[Marża (Margin)]]&gt;0.6,"wysoka",IF(Processed_data[[#This Row],[Marża (Margin)]]&gt;0.3,"średnia","niska"))</f>
        <v>średnia</v>
      </c>
      <c r="L186">
        <f>MONTH(Raw_Data[[#This Row],[Data zamów. (Order date)]])</f>
        <v>7</v>
      </c>
      <c r="M186" t="str">
        <f>TEXT(Raw_Data[[#This Row],[Data zamów. (Order date)]], "MMMM")</f>
        <v>lipiec</v>
      </c>
      <c r="N186">
        <f>IF(Processed_data[[#This Row],[Miesiąc (Month)]]&lt;=3,1,IF(Processed_data[[#This Row],[Miesiąc (Month)]]&lt;=6,2,IF(Processed_data[[#This Row],[Miesiąc (Month)]]&lt;=9,3,4)))</f>
        <v>3</v>
      </c>
    </row>
    <row r="187" spans="1:14" x14ac:dyDescent="0.25">
      <c r="A187" s="6" t="str">
        <f>Raw_Data[[#This Row],[ID zamów. (Order ID)]]</f>
        <v>ORD0186</v>
      </c>
      <c r="B187" s="6" t="str">
        <f>Raw_Data[[#This Row],[ID klienta (Client ID)]]</f>
        <v>CUST4653</v>
      </c>
      <c r="C187" s="6" t="str">
        <f>_xlfn.XLOOKUP(Raw_Data[[#This Row],[Produkt (Product)]],'Product lookup table'!$A$2:$A$20,'Product lookup table'!$B$2:$B$20)</f>
        <v>Outdoor</v>
      </c>
      <c r="D187" s="6" t="str">
        <f>Raw_Data[[#This Row],[Produkt (Product)]]</f>
        <v>Buty trekkingowe</v>
      </c>
      <c r="E187" s="6" t="str">
        <f>Raw_Data[[#This Row],[Kanał sprzedaży (Marketplace)]]</f>
        <v>Empik Marketplace</v>
      </c>
      <c r="F187" s="6" t="str">
        <f>Raw_Data[[#This Row],[Miasto (City)]]</f>
        <v>Wrocław</v>
      </c>
      <c r="G187" s="6">
        <f>Raw_Data[[#This Row],[Ilość (Quant.)]]</f>
        <v>2</v>
      </c>
      <c r="H187" s="7">
        <f>Raw_Data[[#This Row],[Przychód brutto (Revenue)]]</f>
        <v>985.9724285714284</v>
      </c>
      <c r="I18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267.37518571428552</v>
      </c>
      <c r="J187" s="23">
        <f>Processed_data[[#This Row],[Zysk brutto
(Gross profit)]]/Processed_data[[#This Row],[Przychód brutto (Revenue)]]</f>
        <v>0.27117917090408339</v>
      </c>
      <c r="K187" t="str">
        <f>IF(Processed_data[[#This Row],[Marża (Margin)]]&gt;0.6,"wysoka",IF(Processed_data[[#This Row],[Marża (Margin)]]&gt;0.3,"średnia","niska"))</f>
        <v>niska</v>
      </c>
      <c r="L187">
        <f>MONTH(Raw_Data[[#This Row],[Data zamów. (Order date)]])</f>
        <v>11</v>
      </c>
      <c r="M187" t="str">
        <f>TEXT(Raw_Data[[#This Row],[Data zamów. (Order date)]], "MMMM")</f>
        <v>listopad</v>
      </c>
      <c r="N187">
        <f>IF(Processed_data[[#This Row],[Miesiąc (Month)]]&lt;=3,1,IF(Processed_data[[#This Row],[Miesiąc (Month)]]&lt;=6,2,IF(Processed_data[[#This Row],[Miesiąc (Month)]]&lt;=9,3,4)))</f>
        <v>4</v>
      </c>
    </row>
    <row r="188" spans="1:14" x14ac:dyDescent="0.25">
      <c r="A188" s="6" t="str">
        <f>Raw_Data[[#This Row],[ID zamów. (Order ID)]]</f>
        <v>ORD0187</v>
      </c>
      <c r="B188" s="6" t="str">
        <f>Raw_Data[[#This Row],[ID klienta (Client ID)]]</f>
        <v>CUST4653</v>
      </c>
      <c r="C188" s="6" t="str">
        <f>_xlfn.XLOOKUP(Raw_Data[[#This Row],[Produkt (Product)]],'Product lookup table'!$A$2:$A$20,'Product lookup table'!$B$2:$B$20)</f>
        <v>Outdoor</v>
      </c>
      <c r="D188" s="6" t="str">
        <f>Raw_Data[[#This Row],[Produkt (Product)]]</f>
        <v>Namiot</v>
      </c>
      <c r="E188" s="6" t="str">
        <f>Raw_Data[[#This Row],[Kanał sprzedaży (Marketplace)]]</f>
        <v>Empik Marketplace</v>
      </c>
      <c r="F188" s="6" t="str">
        <f>Raw_Data[[#This Row],[Miasto (City)]]</f>
        <v>Wrocław</v>
      </c>
      <c r="G188" s="6">
        <f>Raw_Data[[#This Row],[Ilość (Quant.)]]</f>
        <v>3</v>
      </c>
      <c r="H188" s="7">
        <f>Raw_Data[[#This Row],[Przychód brutto (Revenue)]]</f>
        <v>1669.2557142857147</v>
      </c>
      <c r="I18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422.33014285714319</v>
      </c>
      <c r="J188" s="23">
        <f>Processed_data[[#This Row],[Zysk brutto
(Gross profit)]]/Processed_data[[#This Row],[Przychód brutto (Revenue)]]</f>
        <v>0.25300506042470611</v>
      </c>
      <c r="K188" t="str">
        <f>IF(Processed_data[[#This Row],[Marża (Margin)]]&gt;0.6,"wysoka",IF(Processed_data[[#This Row],[Marża (Margin)]]&gt;0.3,"średnia","niska"))</f>
        <v>niska</v>
      </c>
      <c r="L188">
        <f>MONTH(Raw_Data[[#This Row],[Data zamów. (Order date)]])</f>
        <v>7</v>
      </c>
      <c r="M188" t="str">
        <f>TEXT(Raw_Data[[#This Row],[Data zamów. (Order date)]], "MMMM")</f>
        <v>lipiec</v>
      </c>
      <c r="N188">
        <f>IF(Processed_data[[#This Row],[Miesiąc (Month)]]&lt;=3,1,IF(Processed_data[[#This Row],[Miesiąc (Month)]]&lt;=6,2,IF(Processed_data[[#This Row],[Miesiąc (Month)]]&lt;=9,3,4)))</f>
        <v>3</v>
      </c>
    </row>
    <row r="189" spans="1:14" x14ac:dyDescent="0.25">
      <c r="A189" s="6" t="str">
        <f>Raw_Data[[#This Row],[ID zamów. (Order ID)]]</f>
        <v>ORD0188</v>
      </c>
      <c r="B189" s="6" t="str">
        <f>Raw_Data[[#This Row],[ID klienta (Client ID)]]</f>
        <v>CUST3437</v>
      </c>
      <c r="C189" s="6" t="str">
        <f>_xlfn.XLOOKUP(Raw_Data[[#This Row],[Produkt (Product)]],'Product lookup table'!$A$2:$A$20,'Product lookup table'!$B$2:$B$20)</f>
        <v>Kosmetyki</v>
      </c>
      <c r="D189" s="6" t="str">
        <f>Raw_Data[[#This Row],[Produkt (Product)]]</f>
        <v>Szampon</v>
      </c>
      <c r="E189" s="6" t="str">
        <f>Raw_Data[[#This Row],[Kanał sprzedaży (Marketplace)]]</f>
        <v>Allegro</v>
      </c>
      <c r="F189" s="6" t="str">
        <f>Raw_Data[[#This Row],[Miasto (City)]]</f>
        <v>Kraków</v>
      </c>
      <c r="G189" s="6">
        <f>Raw_Data[[#This Row],[Ilość (Quant.)]]</f>
        <v>5</v>
      </c>
      <c r="H189" s="7">
        <f>Raw_Data[[#This Row],[Przychód brutto (Revenue)]]</f>
        <v>50.429166666666667</v>
      </c>
      <c r="I18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28.894833333333334</v>
      </c>
      <c r="J189" s="23">
        <f>Processed_data[[#This Row],[Zysk brutto
(Gross profit)]]/Processed_data[[#This Row],[Przychód brutto (Revenue)]]</f>
        <v>0.57297860034702142</v>
      </c>
      <c r="K189" t="str">
        <f>IF(Processed_data[[#This Row],[Marża (Margin)]]&gt;0.6,"wysoka",IF(Processed_data[[#This Row],[Marża (Margin)]]&gt;0.3,"średnia","niska"))</f>
        <v>średnia</v>
      </c>
      <c r="L189">
        <f>MONTH(Raw_Data[[#This Row],[Data zamów. (Order date)]])</f>
        <v>6</v>
      </c>
      <c r="M189" t="str">
        <f>TEXT(Raw_Data[[#This Row],[Data zamów. (Order date)]], "MMMM")</f>
        <v>czerwiec</v>
      </c>
      <c r="N189">
        <f>IF(Processed_data[[#This Row],[Miesiąc (Month)]]&lt;=3,1,IF(Processed_data[[#This Row],[Miesiąc (Month)]]&lt;=6,2,IF(Processed_data[[#This Row],[Miesiąc (Month)]]&lt;=9,3,4)))</f>
        <v>2</v>
      </c>
    </row>
    <row r="190" spans="1:14" x14ac:dyDescent="0.25">
      <c r="A190" s="6" t="str">
        <f>Raw_Data[[#This Row],[ID zamów. (Order ID)]]</f>
        <v>ORD0189</v>
      </c>
      <c r="B190" s="6" t="str">
        <f>Raw_Data[[#This Row],[ID klienta (Client ID)]]</f>
        <v>CUST3437</v>
      </c>
      <c r="C190" s="6" t="str">
        <f>_xlfn.XLOOKUP(Raw_Data[[#This Row],[Produkt (Product)]],'Product lookup table'!$A$2:$A$20,'Product lookup table'!$B$2:$B$20)</f>
        <v>Kosmetyki</v>
      </c>
      <c r="D190" s="6" t="str">
        <f>Raw_Data[[#This Row],[Produkt (Product)]]</f>
        <v>Serum</v>
      </c>
      <c r="E190" s="6" t="str">
        <f>Raw_Data[[#This Row],[Kanał sprzedaży (Marketplace)]]</f>
        <v>Allegro</v>
      </c>
      <c r="F190" s="6" t="str">
        <f>Raw_Data[[#This Row],[Miasto (City)]]</f>
        <v>Kraków</v>
      </c>
      <c r="G190" s="6">
        <f>Raw_Data[[#This Row],[Ilość (Quant.)]]</f>
        <v>5</v>
      </c>
      <c r="H190" s="7">
        <f>Raw_Data[[#This Row],[Przychód brutto (Revenue)]]</f>
        <v>394.95</v>
      </c>
      <c r="I19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213.35399999999998</v>
      </c>
      <c r="J190" s="23">
        <f>Processed_data[[#This Row],[Zysk brutto
(Gross profit)]]/Processed_data[[#This Row],[Przychód brutto (Revenue)]]</f>
        <v>0.54020508925180399</v>
      </c>
      <c r="K190" t="str">
        <f>IF(Processed_data[[#This Row],[Marża (Margin)]]&gt;0.6,"wysoka",IF(Processed_data[[#This Row],[Marża (Margin)]]&gt;0.3,"średnia","niska"))</f>
        <v>średnia</v>
      </c>
      <c r="L190">
        <f>MONTH(Raw_Data[[#This Row],[Data zamów. (Order date)]])</f>
        <v>1</v>
      </c>
      <c r="M190" t="str">
        <f>TEXT(Raw_Data[[#This Row],[Data zamów. (Order date)]], "MMMM")</f>
        <v>styczeń</v>
      </c>
      <c r="N190">
        <f>IF(Processed_data[[#This Row],[Miesiąc (Month)]]&lt;=3,1,IF(Processed_data[[#This Row],[Miesiąc (Month)]]&lt;=6,2,IF(Processed_data[[#This Row],[Miesiąc (Month)]]&lt;=9,3,4)))</f>
        <v>1</v>
      </c>
    </row>
    <row r="191" spans="1:14" x14ac:dyDescent="0.25">
      <c r="A191" s="6" t="str">
        <f>Raw_Data[[#This Row],[ID zamów. (Order ID)]]</f>
        <v>ORD0190</v>
      </c>
      <c r="B191" s="6" t="str">
        <f>Raw_Data[[#This Row],[ID klienta (Client ID)]]</f>
        <v>CUST2762</v>
      </c>
      <c r="C191" s="6" t="str">
        <f>_xlfn.XLOOKUP(Raw_Data[[#This Row],[Produkt (Product)]],'Product lookup table'!$A$2:$A$20,'Product lookup table'!$B$2:$B$20)</f>
        <v>Outdoor</v>
      </c>
      <c r="D191" s="6" t="str">
        <f>Raw_Data[[#This Row],[Produkt (Product)]]</f>
        <v>Bidon</v>
      </c>
      <c r="E191" s="6" t="str">
        <f>Raw_Data[[#This Row],[Kanał sprzedaży (Marketplace)]]</f>
        <v>Amazon</v>
      </c>
      <c r="F191" s="6" t="str">
        <f>Raw_Data[[#This Row],[Miasto (City)]]</f>
        <v>Gdańsk</v>
      </c>
      <c r="G191" s="6">
        <f>Raw_Data[[#This Row],[Ilość (Quant.)]]</f>
        <v>3</v>
      </c>
      <c r="H191" s="7">
        <f>Raw_Data[[#This Row],[Przychód brutto (Revenue)]]</f>
        <v>79.812214285714276</v>
      </c>
      <c r="I19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25.234748571428561</v>
      </c>
      <c r="J191" s="23">
        <f>Processed_data[[#This Row],[Zysk brutto
(Gross profit)]]/Processed_data[[#This Row],[Przychód brutto (Revenue)]]</f>
        <v>0.31617652507537775</v>
      </c>
      <c r="K191" t="str">
        <f>IF(Processed_data[[#This Row],[Marża (Margin)]]&gt;0.6,"wysoka",IF(Processed_data[[#This Row],[Marża (Margin)]]&gt;0.3,"średnia","niska"))</f>
        <v>średnia</v>
      </c>
      <c r="L191">
        <f>MONTH(Raw_Data[[#This Row],[Data zamów. (Order date)]])</f>
        <v>8</v>
      </c>
      <c r="M191" t="str">
        <f>TEXT(Raw_Data[[#This Row],[Data zamów. (Order date)]], "MMMM")</f>
        <v>sierpień</v>
      </c>
      <c r="N191">
        <f>IF(Processed_data[[#This Row],[Miesiąc (Month)]]&lt;=3,1,IF(Processed_data[[#This Row],[Miesiąc (Month)]]&lt;=6,2,IF(Processed_data[[#This Row],[Miesiąc (Month)]]&lt;=9,3,4)))</f>
        <v>3</v>
      </c>
    </row>
    <row r="192" spans="1:14" x14ac:dyDescent="0.25">
      <c r="A192" s="6" t="str">
        <f>Raw_Data[[#This Row],[ID zamów. (Order ID)]]</f>
        <v>ORD0191</v>
      </c>
      <c r="B192" s="6" t="str">
        <f>Raw_Data[[#This Row],[ID klienta (Client ID)]]</f>
        <v>CUST4533</v>
      </c>
      <c r="C192" s="6" t="str">
        <f>_xlfn.XLOOKUP(Raw_Data[[#This Row],[Produkt (Product)]],'Product lookup table'!$A$2:$A$20,'Product lookup table'!$B$2:$B$20)</f>
        <v>Home</v>
      </c>
      <c r="D192" s="6" t="str">
        <f>Raw_Data[[#This Row],[Produkt (Product)]]</f>
        <v>Kubek</v>
      </c>
      <c r="E192" s="6" t="str">
        <f>Raw_Data[[#This Row],[Kanał sprzedaży (Marketplace)]]</f>
        <v>Amazon</v>
      </c>
      <c r="F192" s="6" t="str">
        <f>Raw_Data[[#This Row],[Miasto (City)]]</f>
        <v>Warszawa</v>
      </c>
      <c r="G192" s="6">
        <f>Raw_Data[[#This Row],[Ilość (Quant.)]]</f>
        <v>5</v>
      </c>
      <c r="H192" s="7">
        <f>Raw_Data[[#This Row],[Przychód brutto (Revenue)]]</f>
        <v>90.040909090909082</v>
      </c>
      <c r="I192"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34.23599999999999</v>
      </c>
      <c r="J192" s="23">
        <f>Processed_data[[#This Row],[Zysk brutto
(Gross profit)]]/Processed_data[[#This Row],[Przychód brutto (Revenue)]]</f>
        <v>0.38022716946842339</v>
      </c>
      <c r="K192" t="str">
        <f>IF(Processed_data[[#This Row],[Marża (Margin)]]&gt;0.6,"wysoka",IF(Processed_data[[#This Row],[Marża (Margin)]]&gt;0.3,"średnia","niska"))</f>
        <v>średnia</v>
      </c>
      <c r="L192">
        <f>MONTH(Raw_Data[[#This Row],[Data zamów. (Order date)]])</f>
        <v>12</v>
      </c>
      <c r="M192" t="str">
        <f>TEXT(Raw_Data[[#This Row],[Data zamów. (Order date)]], "MMMM")</f>
        <v>grudzień</v>
      </c>
      <c r="N192">
        <f>IF(Processed_data[[#This Row],[Miesiąc (Month)]]&lt;=3,1,IF(Processed_data[[#This Row],[Miesiąc (Month)]]&lt;=6,2,IF(Processed_data[[#This Row],[Miesiąc (Month)]]&lt;=9,3,4)))</f>
        <v>4</v>
      </c>
    </row>
    <row r="193" spans="1:14" x14ac:dyDescent="0.25">
      <c r="A193" s="6" t="str">
        <f>Raw_Data[[#This Row],[ID zamów. (Order ID)]]</f>
        <v>ORD0192</v>
      </c>
      <c r="B193" s="6" t="str">
        <f>Raw_Data[[#This Row],[ID klienta (Client ID)]]</f>
        <v>CUST4533</v>
      </c>
      <c r="C193" s="6" t="str">
        <f>_xlfn.XLOOKUP(Raw_Data[[#This Row],[Produkt (Product)]],'Product lookup table'!$A$2:$A$20,'Product lookup table'!$B$2:$B$20)</f>
        <v>Outdoor</v>
      </c>
      <c r="D193" s="6" t="str">
        <f>Raw_Data[[#This Row],[Produkt (Product)]]</f>
        <v>Śpiwór</v>
      </c>
      <c r="E193" s="6" t="str">
        <f>Raw_Data[[#This Row],[Kanał sprzedaży (Marketplace)]]</f>
        <v>Allegro</v>
      </c>
      <c r="F193" s="6" t="str">
        <f>Raw_Data[[#This Row],[Miasto (City)]]</f>
        <v>Warszawa</v>
      </c>
      <c r="G193" s="6">
        <f>Raw_Data[[#This Row],[Ilość (Quant.)]]</f>
        <v>5</v>
      </c>
      <c r="H193" s="7">
        <f>Raw_Data[[#This Row],[Przychód brutto (Revenue)]]</f>
        <v>2550.6642857142861</v>
      </c>
      <c r="I193"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996.61114285714314</v>
      </c>
      <c r="J193" s="23">
        <f>Processed_data[[#This Row],[Zysk brutto
(Gross profit)]]/Processed_data[[#This Row],[Przychód brutto (Revenue)]]</f>
        <v>0.3907261133654259</v>
      </c>
      <c r="K193" t="str">
        <f>IF(Processed_data[[#This Row],[Marża (Margin)]]&gt;0.6,"wysoka",IF(Processed_data[[#This Row],[Marża (Margin)]]&gt;0.3,"średnia","niska"))</f>
        <v>średnia</v>
      </c>
      <c r="L193">
        <f>MONTH(Raw_Data[[#This Row],[Data zamów. (Order date)]])</f>
        <v>12</v>
      </c>
      <c r="M193" t="str">
        <f>TEXT(Raw_Data[[#This Row],[Data zamów. (Order date)]], "MMMM")</f>
        <v>grudzień</v>
      </c>
      <c r="N193">
        <f>IF(Processed_data[[#This Row],[Miesiąc (Month)]]&lt;=3,1,IF(Processed_data[[#This Row],[Miesiąc (Month)]]&lt;=6,2,IF(Processed_data[[#This Row],[Miesiąc (Month)]]&lt;=9,3,4)))</f>
        <v>4</v>
      </c>
    </row>
    <row r="194" spans="1:14" x14ac:dyDescent="0.25">
      <c r="A194" s="6" t="str">
        <f>Raw_Data[[#This Row],[ID zamów. (Order ID)]]</f>
        <v>ORD0193</v>
      </c>
      <c r="B194" s="6" t="str">
        <f>Raw_Data[[#This Row],[ID klienta (Client ID)]]</f>
        <v>CUST4533</v>
      </c>
      <c r="C194" s="6" t="str">
        <f>_xlfn.XLOOKUP(Raw_Data[[#This Row],[Produkt (Product)]],'Product lookup table'!$A$2:$A$20,'Product lookup table'!$B$2:$B$20)</f>
        <v>Outdoor</v>
      </c>
      <c r="D194" s="6" t="str">
        <f>Raw_Data[[#This Row],[Produkt (Product)]]</f>
        <v>Latarka</v>
      </c>
      <c r="E194" s="6" t="str">
        <f>Raw_Data[[#This Row],[Kanał sprzedaży (Marketplace)]]</f>
        <v>Amazon</v>
      </c>
      <c r="F194" s="6" t="str">
        <f>Raw_Data[[#This Row],[Miasto (City)]]</f>
        <v>Warszawa</v>
      </c>
      <c r="G194" s="6">
        <f>Raw_Data[[#This Row],[Ilość (Quant.)]]</f>
        <v>4</v>
      </c>
      <c r="H194" s="7">
        <f>Raw_Data[[#This Row],[Przychód brutto (Revenue)]]</f>
        <v>171.00000000000003</v>
      </c>
      <c r="I194"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38.480000000000025</v>
      </c>
      <c r="J194" s="23">
        <f>Processed_data[[#This Row],[Zysk brutto
(Gross profit)]]/Processed_data[[#This Row],[Przychód brutto (Revenue)]]</f>
        <v>0.225029239766082</v>
      </c>
      <c r="K194" t="str">
        <f>IF(Processed_data[[#This Row],[Marża (Margin)]]&gt;0.6,"wysoka",IF(Processed_data[[#This Row],[Marża (Margin)]]&gt;0.3,"średnia","niska"))</f>
        <v>niska</v>
      </c>
      <c r="L194">
        <f>MONTH(Raw_Data[[#This Row],[Data zamów. (Order date)]])</f>
        <v>12</v>
      </c>
      <c r="M194" t="str">
        <f>TEXT(Raw_Data[[#This Row],[Data zamów. (Order date)]], "MMMM")</f>
        <v>grudzień</v>
      </c>
      <c r="N194">
        <f>IF(Processed_data[[#This Row],[Miesiąc (Month)]]&lt;=3,1,IF(Processed_data[[#This Row],[Miesiąc (Month)]]&lt;=6,2,IF(Processed_data[[#This Row],[Miesiąc (Month)]]&lt;=9,3,4)))</f>
        <v>4</v>
      </c>
    </row>
    <row r="195" spans="1:14" x14ac:dyDescent="0.25">
      <c r="A195" s="6" t="str">
        <f>Raw_Data[[#This Row],[ID zamów. (Order ID)]]</f>
        <v>ORD0194</v>
      </c>
      <c r="B195" s="6" t="str">
        <f>Raw_Data[[#This Row],[ID klienta (Client ID)]]</f>
        <v>CUST4533</v>
      </c>
      <c r="C195" s="6" t="str">
        <f>_xlfn.XLOOKUP(Raw_Data[[#This Row],[Produkt (Product)]],'Product lookup table'!$A$2:$A$20,'Product lookup table'!$B$2:$B$20)</f>
        <v>Elektronika</v>
      </c>
      <c r="D195" s="6" t="str">
        <f>Raw_Data[[#This Row],[Produkt (Product)]]</f>
        <v>Powerbank</v>
      </c>
      <c r="E195" s="6" t="str">
        <f>Raw_Data[[#This Row],[Kanał sprzedaży (Marketplace)]]</f>
        <v>Shopify</v>
      </c>
      <c r="F195" s="6" t="str">
        <f>Raw_Data[[#This Row],[Miasto (City)]]</f>
        <v>Warszawa</v>
      </c>
      <c r="G195" s="6">
        <f>Raw_Data[[#This Row],[Ilość (Quant.)]]</f>
        <v>2</v>
      </c>
      <c r="H195" s="7">
        <f>Raw_Data[[#This Row],[Przychód brutto (Revenue)]]</f>
        <v>175.79543478260868</v>
      </c>
      <c r="I195"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15.79543478260868</v>
      </c>
      <c r="J195" s="23">
        <f>Processed_data[[#This Row],[Zysk brutto
(Gross profit)]]/Processed_data[[#This Row],[Przychód brutto (Revenue)]]</f>
        <v>8.9851222826926966E-2</v>
      </c>
      <c r="K195" t="str">
        <f>IF(Processed_data[[#This Row],[Marża (Margin)]]&gt;0.6,"wysoka",IF(Processed_data[[#This Row],[Marża (Margin)]]&gt;0.3,"średnia","niska"))</f>
        <v>niska</v>
      </c>
      <c r="L195">
        <f>MONTH(Raw_Data[[#This Row],[Data zamów. (Order date)]])</f>
        <v>2</v>
      </c>
      <c r="M195" t="str">
        <f>TEXT(Raw_Data[[#This Row],[Data zamów. (Order date)]], "MMMM")</f>
        <v>luty</v>
      </c>
      <c r="N195">
        <f>IF(Processed_data[[#This Row],[Miesiąc (Month)]]&lt;=3,1,IF(Processed_data[[#This Row],[Miesiąc (Month)]]&lt;=6,2,IF(Processed_data[[#This Row],[Miesiąc (Month)]]&lt;=9,3,4)))</f>
        <v>1</v>
      </c>
    </row>
    <row r="196" spans="1:14" x14ac:dyDescent="0.25">
      <c r="A196" s="6" t="str">
        <f>Raw_Data[[#This Row],[ID zamów. (Order ID)]]</f>
        <v>ORD0195</v>
      </c>
      <c r="B196" s="6" t="str">
        <f>Raw_Data[[#This Row],[ID klienta (Client ID)]]</f>
        <v>CUST4533</v>
      </c>
      <c r="C196" s="6" t="str">
        <f>_xlfn.XLOOKUP(Raw_Data[[#This Row],[Produkt (Product)]],'Product lookup table'!$A$2:$A$20,'Product lookup table'!$B$2:$B$20)</f>
        <v>Elektronika</v>
      </c>
      <c r="D196" s="6" t="str">
        <f>Raw_Data[[#This Row],[Produkt (Product)]]</f>
        <v>Myszka</v>
      </c>
      <c r="E196" s="6" t="str">
        <f>Raw_Data[[#This Row],[Kanał sprzedaży (Marketplace)]]</f>
        <v>Amazon</v>
      </c>
      <c r="F196" s="6" t="str">
        <f>Raw_Data[[#This Row],[Miasto (City)]]</f>
        <v>Warszawa</v>
      </c>
      <c r="G196" s="6">
        <f>Raw_Data[[#This Row],[Ilość (Quant.)]]</f>
        <v>3</v>
      </c>
      <c r="H196" s="7">
        <f>Raw_Data[[#This Row],[Przychód brutto (Revenue)]]</f>
        <v>258.98478260869558</v>
      </c>
      <c r="I196"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17.906608695652114</v>
      </c>
      <c r="J196" s="23">
        <f>Processed_data[[#This Row],[Zysk brutto
(Gross profit)]]/Processed_data[[#This Row],[Przychód brutto (Revenue)]]</f>
        <v>6.9141547682002258E-2</v>
      </c>
      <c r="K196" t="str">
        <f>IF(Processed_data[[#This Row],[Marża (Margin)]]&gt;0.6,"wysoka",IF(Processed_data[[#This Row],[Marża (Margin)]]&gt;0.3,"średnia","niska"))</f>
        <v>niska</v>
      </c>
      <c r="L196">
        <f>MONTH(Raw_Data[[#This Row],[Data zamów. (Order date)]])</f>
        <v>12</v>
      </c>
      <c r="M196" t="str">
        <f>TEXT(Raw_Data[[#This Row],[Data zamów. (Order date)]], "MMMM")</f>
        <v>grudzień</v>
      </c>
      <c r="N196">
        <f>IF(Processed_data[[#This Row],[Miesiąc (Month)]]&lt;=3,1,IF(Processed_data[[#This Row],[Miesiąc (Month)]]&lt;=6,2,IF(Processed_data[[#This Row],[Miesiąc (Month)]]&lt;=9,3,4)))</f>
        <v>4</v>
      </c>
    </row>
    <row r="197" spans="1:14" x14ac:dyDescent="0.25">
      <c r="A197" s="6" t="str">
        <f>Raw_Data[[#This Row],[ID zamów. (Order ID)]]</f>
        <v>ORD0196</v>
      </c>
      <c r="B197" s="6" t="str">
        <f>Raw_Data[[#This Row],[ID klienta (Client ID)]]</f>
        <v>CUST4479</v>
      </c>
      <c r="C197" s="6" t="str">
        <f>_xlfn.XLOOKUP(Raw_Data[[#This Row],[Produkt (Product)]],'Product lookup table'!$A$2:$A$20,'Product lookup table'!$B$2:$B$20)</f>
        <v>Elektronika</v>
      </c>
      <c r="D197" s="6" t="str">
        <f>Raw_Data[[#This Row],[Produkt (Product)]]</f>
        <v>Głośnik</v>
      </c>
      <c r="E197" s="6" t="str">
        <f>Raw_Data[[#This Row],[Kanał sprzedaży (Marketplace)]]</f>
        <v>Shopify</v>
      </c>
      <c r="F197" s="6" t="str">
        <f>Raw_Data[[#This Row],[Miasto (City)]]</f>
        <v>Kraków</v>
      </c>
      <c r="G197" s="6">
        <f>Raw_Data[[#This Row],[Ilość (Quant.)]]</f>
        <v>1</v>
      </c>
      <c r="H197" s="7">
        <f>Raw_Data[[#This Row],[Przychód brutto (Revenue)]]</f>
        <v>196.90304347826091</v>
      </c>
      <c r="I197"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66.903043478260912</v>
      </c>
      <c r="J197" s="23">
        <f>Processed_data[[#This Row],[Zysk brutto
(Gross profit)]]/Processed_data[[#This Row],[Przychód brutto (Revenue)]]</f>
        <v>0.33977658392896981</v>
      </c>
      <c r="K197" t="str">
        <f>IF(Processed_data[[#This Row],[Marża (Margin)]]&gt;0.6,"wysoka",IF(Processed_data[[#This Row],[Marża (Margin)]]&gt;0.3,"średnia","niska"))</f>
        <v>średnia</v>
      </c>
      <c r="L197">
        <f>MONTH(Raw_Data[[#This Row],[Data zamów. (Order date)]])</f>
        <v>4</v>
      </c>
      <c r="M197" t="str">
        <f>TEXT(Raw_Data[[#This Row],[Data zamów. (Order date)]], "MMMM")</f>
        <v>kwiecień</v>
      </c>
      <c r="N197">
        <f>IF(Processed_data[[#This Row],[Miesiąc (Month)]]&lt;=3,1,IF(Processed_data[[#This Row],[Miesiąc (Month)]]&lt;=6,2,IF(Processed_data[[#This Row],[Miesiąc (Month)]]&lt;=9,3,4)))</f>
        <v>2</v>
      </c>
    </row>
    <row r="198" spans="1:14" x14ac:dyDescent="0.25">
      <c r="A198" s="6" t="str">
        <f>Raw_Data[[#This Row],[ID zamów. (Order ID)]]</f>
        <v>ORD0197</v>
      </c>
      <c r="B198" s="6" t="str">
        <f>Raw_Data[[#This Row],[ID klienta (Client ID)]]</f>
        <v>CUST4479</v>
      </c>
      <c r="C198" s="6" t="str">
        <f>_xlfn.XLOOKUP(Raw_Data[[#This Row],[Produkt (Product)]],'Product lookup table'!$A$2:$A$20,'Product lookup table'!$B$2:$B$20)</f>
        <v>Outdoor</v>
      </c>
      <c r="D198" s="6" t="str">
        <f>Raw_Data[[#This Row],[Produkt (Product)]]</f>
        <v>Bidon</v>
      </c>
      <c r="E198" s="6" t="str">
        <f>Raw_Data[[#This Row],[Kanał sprzedaży (Marketplace)]]</f>
        <v>Amazon</v>
      </c>
      <c r="F198" s="6" t="str">
        <f>Raw_Data[[#This Row],[Miasto (City)]]</f>
        <v>Kraków</v>
      </c>
      <c r="G198" s="6">
        <f>Raw_Data[[#This Row],[Ilość (Quant.)]]</f>
        <v>5</v>
      </c>
      <c r="H198" s="7">
        <f>Raw_Data[[#This Row],[Przychód brutto (Revenue)]]</f>
        <v>144.14892857142857</v>
      </c>
      <c r="I198"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51.851057142857144</v>
      </c>
      <c r="J198" s="23">
        <f>Processed_data[[#This Row],[Zysk brutto
(Gross profit)]]/Processed_data[[#This Row],[Przychód brutto (Revenue)]]</f>
        <v>0.3597047696207048</v>
      </c>
      <c r="K198" t="str">
        <f>IF(Processed_data[[#This Row],[Marża (Margin)]]&gt;0.6,"wysoka",IF(Processed_data[[#This Row],[Marża (Margin)]]&gt;0.3,"średnia","niska"))</f>
        <v>średnia</v>
      </c>
      <c r="L198">
        <f>MONTH(Raw_Data[[#This Row],[Data zamów. (Order date)]])</f>
        <v>12</v>
      </c>
      <c r="M198" t="str">
        <f>TEXT(Raw_Data[[#This Row],[Data zamów. (Order date)]], "MMMM")</f>
        <v>grudzień</v>
      </c>
      <c r="N198">
        <f>IF(Processed_data[[#This Row],[Miesiąc (Month)]]&lt;=3,1,IF(Processed_data[[#This Row],[Miesiąc (Month)]]&lt;=6,2,IF(Processed_data[[#This Row],[Miesiąc (Month)]]&lt;=9,3,4)))</f>
        <v>4</v>
      </c>
    </row>
    <row r="199" spans="1:14" x14ac:dyDescent="0.25">
      <c r="A199" s="6" t="str">
        <f>Raw_Data[[#This Row],[ID zamów. (Order ID)]]</f>
        <v>ORD0198</v>
      </c>
      <c r="B199" s="6" t="str">
        <f>Raw_Data[[#This Row],[ID klienta (Client ID)]]</f>
        <v>CUST4479</v>
      </c>
      <c r="C199" s="6" t="str">
        <f>_xlfn.XLOOKUP(Raw_Data[[#This Row],[Produkt (Product)]],'Product lookup table'!$A$2:$A$20,'Product lookup table'!$B$2:$B$20)</f>
        <v>Elektronika</v>
      </c>
      <c r="D199" s="6" t="str">
        <f>Raw_Data[[#This Row],[Produkt (Product)]]</f>
        <v>Klawiatura</v>
      </c>
      <c r="E199" s="6" t="str">
        <f>Raw_Data[[#This Row],[Kanał sprzedaży (Marketplace)]]</f>
        <v>Amazon</v>
      </c>
      <c r="F199" s="6" t="str">
        <f>Raw_Data[[#This Row],[Miasto (City)]]</f>
        <v>Kraków</v>
      </c>
      <c r="G199" s="6">
        <f>Raw_Data[[#This Row],[Ilość (Quant.)]]</f>
        <v>1</v>
      </c>
      <c r="H199" s="7">
        <f>Raw_Data[[#This Row],[Przychód brutto (Revenue)]]</f>
        <v>136.65434782608696</v>
      </c>
      <c r="I199"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10.255826086956528</v>
      </c>
      <c r="J199" s="23">
        <f>Processed_data[[#This Row],[Zysk brutto
(Gross profit)]]/Processed_data[[#This Row],[Przychód brutto (Revenue)]]</f>
        <v>7.5049394696234589E-2</v>
      </c>
      <c r="K199" t="str">
        <f>IF(Processed_data[[#This Row],[Marża (Margin)]]&gt;0.6,"wysoka",IF(Processed_data[[#This Row],[Marża (Margin)]]&gt;0.3,"średnia","niska"))</f>
        <v>niska</v>
      </c>
      <c r="L199">
        <f>MONTH(Raw_Data[[#This Row],[Data zamów. (Order date)]])</f>
        <v>7</v>
      </c>
      <c r="M199" t="str">
        <f>TEXT(Raw_Data[[#This Row],[Data zamów. (Order date)]], "MMMM")</f>
        <v>lipiec</v>
      </c>
      <c r="N199">
        <f>IF(Processed_data[[#This Row],[Miesiąc (Month)]]&lt;=3,1,IF(Processed_data[[#This Row],[Miesiąc (Month)]]&lt;=6,2,IF(Processed_data[[#This Row],[Miesiąc (Month)]]&lt;=9,3,4)))</f>
        <v>3</v>
      </c>
    </row>
    <row r="200" spans="1:14" x14ac:dyDescent="0.25">
      <c r="A200" s="6" t="str">
        <f>Raw_Data[[#This Row],[ID zamów. (Order ID)]]</f>
        <v>ORD0199</v>
      </c>
      <c r="B200" s="6" t="str">
        <f>Raw_Data[[#This Row],[ID klienta (Client ID)]]</f>
        <v>CUST7053</v>
      </c>
      <c r="C200" s="6" t="str">
        <f>_xlfn.XLOOKUP(Raw_Data[[#This Row],[Produkt (Product)]],'Product lookup table'!$A$2:$A$20,'Product lookup table'!$B$2:$B$20)</f>
        <v>Kosmetyki</v>
      </c>
      <c r="D200" s="6" t="str">
        <f>Raw_Data[[#This Row],[Produkt (Product)]]</f>
        <v>Paleta cieni</v>
      </c>
      <c r="E200" s="6" t="str">
        <f>Raw_Data[[#This Row],[Kanał sprzedaży (Marketplace)]]</f>
        <v>Shopify</v>
      </c>
      <c r="F200" s="6" t="str">
        <f>Raw_Data[[#This Row],[Miasto (City)]]</f>
        <v>Gdańsk</v>
      </c>
      <c r="G200" s="6">
        <f>Raw_Data[[#This Row],[Ilość (Quant.)]]</f>
        <v>3</v>
      </c>
      <c r="H200" s="7">
        <f>Raw_Data[[#This Row],[Przychód brutto (Revenue)]]</f>
        <v>354.38483333333335</v>
      </c>
      <c r="I200"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234.38483333333335</v>
      </c>
      <c r="J200" s="23">
        <f>Processed_data[[#This Row],[Zysk brutto
(Gross profit)]]/Processed_data[[#This Row],[Przychód brutto (Revenue)]]</f>
        <v>0.66138505739288134</v>
      </c>
      <c r="K200" t="str">
        <f>IF(Processed_data[[#This Row],[Marża (Margin)]]&gt;0.6,"wysoka",IF(Processed_data[[#This Row],[Marża (Margin)]]&gt;0.3,"średnia","niska"))</f>
        <v>wysoka</v>
      </c>
      <c r="L200">
        <f>MONTH(Raw_Data[[#This Row],[Data zamów. (Order date)]])</f>
        <v>5</v>
      </c>
      <c r="M200" t="str">
        <f>TEXT(Raw_Data[[#This Row],[Data zamów. (Order date)]], "MMMM")</f>
        <v>maj</v>
      </c>
      <c r="N200">
        <f>IF(Processed_data[[#This Row],[Miesiąc (Month)]]&lt;=3,1,IF(Processed_data[[#This Row],[Miesiąc (Month)]]&lt;=6,2,IF(Processed_data[[#This Row],[Miesiąc (Month)]]&lt;=9,3,4)))</f>
        <v>2</v>
      </c>
    </row>
    <row r="201" spans="1:14" x14ac:dyDescent="0.25">
      <c r="A201" s="6" t="str">
        <f>Raw_Data[[#This Row],[ID zamów. (Order ID)]]</f>
        <v>ORD0200</v>
      </c>
      <c r="B201" s="6" t="str">
        <f>Raw_Data[[#This Row],[ID klienta (Client ID)]]</f>
        <v>CUST7053</v>
      </c>
      <c r="C201" s="6" t="str">
        <f>_xlfn.XLOOKUP(Raw_Data[[#This Row],[Produkt (Product)]],'Product lookup table'!$A$2:$A$20,'Product lookup table'!$B$2:$B$20)</f>
        <v>Kosmetyki</v>
      </c>
      <c r="D201" s="6" t="str">
        <f>Raw_Data[[#This Row],[Produkt (Product)]]</f>
        <v>Olejek</v>
      </c>
      <c r="E201" s="6" t="str">
        <f>Raw_Data[[#This Row],[Kanał sprzedaży (Marketplace)]]</f>
        <v>Amazon</v>
      </c>
      <c r="F201" s="6" t="str">
        <f>Raw_Data[[#This Row],[Miasto (City)]]</f>
        <v>Gdańsk</v>
      </c>
      <c r="G201" s="6">
        <f>Raw_Data[[#This Row],[Ilość (Quant.)]]</f>
        <v>5</v>
      </c>
      <c r="H201" s="7">
        <f>Raw_Data[[#This Row],[Przychód brutto (Revenue)]]</f>
        <v>48.955555555555549</v>
      </c>
      <c r="I201" s="7">
        <f>(Raw_Data[[#This Row],[Przychód brutto (Revenue)]]-_xlfn.XLOOKUP(Raw_Data[[#This Row],[Produkt (Product)]],'Product lookup table'!$A$2:$A$20,'Product lookup table'!$C$2:$C$20)*Raw_Data[[#This Row],[Ilość (Quant.)]]) - (Raw_Data[[#This Row],[Przychód brutto (Revenue)]]*_xlfn.XLOOKUP(Processed_data[[#This Row],[Kanał sprzedaży (Marketplace)]],'Założenia (Assumptions)'!$B$4:$B$7,'Założenia (Assumptions)'!$C$4:$C$7))</f>
        <v>18.080888888888882</v>
      </c>
      <c r="J201" s="23">
        <f>Processed_data[[#This Row],[Zysk brutto
(Gross profit)]]/Processed_data[[#This Row],[Przychód brutto (Revenue)]]</f>
        <v>0.36933272809804801</v>
      </c>
      <c r="K201" t="str">
        <f>IF(Processed_data[[#This Row],[Marża (Margin)]]&gt;0.6,"wysoka",IF(Processed_data[[#This Row],[Marża (Margin)]]&gt;0.3,"średnia","niska"))</f>
        <v>średnia</v>
      </c>
      <c r="L201">
        <f>MONTH(Raw_Data[[#This Row],[Data zamów. (Order date)]])</f>
        <v>12</v>
      </c>
      <c r="M201" t="str">
        <f>TEXT(Raw_Data[[#This Row],[Data zamów. (Order date)]], "MMMM")</f>
        <v>grudzień</v>
      </c>
      <c r="N201">
        <f>IF(Processed_data[[#This Row],[Miesiąc (Month)]]&lt;=3,1,IF(Processed_data[[#This Row],[Miesiąc (Month)]]&lt;=6,2,IF(Processed_data[[#This Row],[Miesiąc (Month)]]&lt;=9,3,4)))</f>
        <v>4</v>
      </c>
    </row>
    <row r="202" spans="1:14" s="5" customFormat="1" x14ac:dyDescent="0.25">
      <c r="A202" s="5">
        <f>SUBTOTAL(103,Processed_data[ID zamów. (Order ID)])</f>
        <v>200</v>
      </c>
      <c r="B202" s="37" t="str" cm="1">
        <f t="array" ref="B202">INDEX(Processed_data[ID klienta (Client ID)], _xlfn.MODE.SNGL(_xlfn.XMATCH(Processed_data[ID klienta (Client ID)],Processed_data[ID klienta (Client ID)],0)))</f>
        <v>CUST1476</v>
      </c>
      <c r="C202" s="37" t="str" cm="1">
        <f t="array" ref="C202">INDEX(Processed_data[Kategoria (Category)], _xlfn.MODE.SNGL(_xlfn.XMATCH(Processed_data[Kategoria (Category)],Processed_data[Kategoria (Category)],0)))</f>
        <v>Kosmetyki</v>
      </c>
      <c r="D202" s="37" t="str" cm="1">
        <f t="array" ref="D202">INDEX(Processed_data[Produkt (Product)], _xlfn.MODE.SNGL(_xlfn.XMATCH(Processed_data[Produkt (Product)],Processed_data[Produkt (Product)],0)))</f>
        <v>Namiot</v>
      </c>
      <c r="E202" s="37" t="str" cm="1">
        <f t="array" ref="E202">INDEX(Processed_data[Kanał sprzedaży (Marketplace)], _xlfn.MODE.SNGL(_xlfn.XMATCH(Processed_data[Kanał sprzedaży (Marketplace)],Processed_data[Kanał sprzedaży (Marketplace)],0)))</f>
        <v>Allegro</v>
      </c>
      <c r="F202" s="37" t="str" cm="1">
        <f t="array" ref="F202">INDEX(Processed_data[Miasto (City)], _xlfn.MODE.SNGL(_xlfn.XMATCH(Processed_data[Miasto (City)],Processed_data[Miasto (City)],0)))</f>
        <v>Warszawa</v>
      </c>
      <c r="G202" s="37">
        <f>SUBTOTAL(109,Processed_data[Ilość (Quant.)])</f>
        <v>613</v>
      </c>
      <c r="H202" s="36">
        <f>SUBTOTAL(101,Processed_data[Przychód brutto (Revenue)])</f>
        <v>443.53620544403668</v>
      </c>
      <c r="I202" s="36">
        <f>SUBTOTAL(109,Processed_data[Zysk brutto
(Gross profit)])</f>
        <v>27503.094324611331</v>
      </c>
      <c r="J202" s="38">
        <f>SUBTOTAL(101,Processed_data[Marża (Margin)])</f>
        <v>0.38210583221843714</v>
      </c>
      <c r="K202" s="5" t="str" cm="1">
        <f t="array" ref="K202">INDEX(Processed_data[Kat. marży (Margin category)], _xlfn.MODE.SNGL(_xlfn.XMATCH(Processed_data[Kat. marży (Margin category)],Processed_data[Kat. marży (Margin category)],0)))</f>
        <v>średnia</v>
      </c>
      <c r="L202" s="5" cm="1">
        <f t="array" ref="L202">INDEX(Processed_data[Miesiąc (Month)], _xlfn.MODE.SNGL(_xlfn.XMATCH(Processed_data[Miesiąc (Month)],Processed_data[Miesiąc (Month)],0)))</f>
        <v>12</v>
      </c>
      <c r="M202" s="5" t="str" cm="1">
        <f t="array" ref="M202">INDEX(Processed_data[Miesiąc (Month)2], _xlfn.MODE.SNGL(_xlfn.XMATCH(Processed_data[Miesiąc (Month)2],Processed_data[Miesiąc (Month)2],0)))</f>
        <v>grudzień</v>
      </c>
      <c r="N202" s="5" cm="1">
        <f t="array" ref="N202">INDEX(Processed_data[Kwartał (Quarter)], _xlfn.MODE.SNGL(_xlfn.XMATCH(Processed_data[Kwartał (Quarter)],Processed_data[Kwartał (Quarter)],0)))</f>
        <v>4</v>
      </c>
    </row>
    <row r="203" spans="1:14" x14ac:dyDescent="0.25">
      <c r="A203" s="7"/>
      <c r="B203" s="7"/>
      <c r="C203" s="7"/>
      <c r="E203" s="7"/>
      <c r="F203" s="7"/>
      <c r="G203" s="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F0E9-367A-4D67-ADC3-4E6131E15F6C}">
  <dimension ref="B3:G39"/>
  <sheetViews>
    <sheetView zoomScale="85" zoomScaleNormal="85" workbookViewId="0">
      <selection activeCell="G29" sqref="G29:G30"/>
    </sheetView>
  </sheetViews>
  <sheetFormatPr defaultRowHeight="15" x14ac:dyDescent="0.25"/>
  <cols>
    <col min="1" max="1" width="7" customWidth="1"/>
    <col min="2" max="3" width="19" bestFit="1" customWidth="1"/>
    <col min="4" max="4" width="23.42578125" bestFit="1" customWidth="1"/>
    <col min="5" max="5" width="13.5703125" bestFit="1" customWidth="1"/>
    <col min="6" max="6" width="19.85546875" bestFit="1" customWidth="1"/>
    <col min="7" max="7" width="16.28515625" customWidth="1"/>
    <col min="8" max="8" width="18.42578125" customWidth="1"/>
    <col min="9" max="10" width="23.42578125" bestFit="1" customWidth="1"/>
    <col min="11" max="11" width="19" bestFit="1" customWidth="1"/>
    <col min="12" max="12" width="19.85546875" bestFit="1" customWidth="1"/>
    <col min="13" max="13" width="17.7109375" bestFit="1" customWidth="1"/>
    <col min="14" max="14" width="19" bestFit="1" customWidth="1"/>
    <col min="15" max="15" width="23.42578125" bestFit="1" customWidth="1"/>
    <col min="16" max="16" width="30" bestFit="1" customWidth="1"/>
    <col min="17" max="17" width="19.85546875" bestFit="1" customWidth="1"/>
    <col min="18" max="18" width="9.85546875" bestFit="1" customWidth="1"/>
    <col min="20" max="20" width="17.7109375" bestFit="1" customWidth="1"/>
    <col min="21" max="21" width="23.42578125" bestFit="1" customWidth="1"/>
    <col min="22" max="22" width="19" bestFit="1" customWidth="1"/>
    <col min="23" max="23" width="21.5703125" bestFit="1" customWidth="1"/>
    <col min="24" max="55" width="32" bestFit="1" customWidth="1"/>
    <col min="56" max="56" width="39.140625" bestFit="1" customWidth="1"/>
    <col min="57" max="57" width="38.28515625" bestFit="1" customWidth="1"/>
    <col min="58" max="58" width="28.5703125" bestFit="1" customWidth="1"/>
  </cols>
  <sheetData>
    <row r="3" spans="2:6" x14ac:dyDescent="0.25">
      <c r="B3" s="1" t="s">
        <v>355</v>
      </c>
      <c r="C3" t="s">
        <v>414</v>
      </c>
      <c r="D3" t="s">
        <v>413</v>
      </c>
      <c r="E3" t="s">
        <v>412</v>
      </c>
      <c r="F3" s="46" t="s">
        <v>415</v>
      </c>
    </row>
    <row r="4" spans="2:6" x14ac:dyDescent="0.25">
      <c r="B4" s="2" t="s">
        <v>13</v>
      </c>
      <c r="C4" s="43">
        <v>8879.9034609523824</v>
      </c>
      <c r="D4" s="43">
        <v>28732.503761904762</v>
      </c>
      <c r="E4" s="44">
        <v>0.3902620373318807</v>
      </c>
      <c r="F4" s="45">
        <v>174</v>
      </c>
    </row>
    <row r="5" spans="2:6" x14ac:dyDescent="0.25">
      <c r="B5" s="2" t="s">
        <v>3</v>
      </c>
      <c r="C5" s="43">
        <v>8620.8110470920401</v>
      </c>
      <c r="D5" s="43">
        <v>29159.234496768942</v>
      </c>
      <c r="E5" s="44">
        <v>0.35405632210007176</v>
      </c>
      <c r="F5" s="45">
        <v>173</v>
      </c>
    </row>
    <row r="6" spans="2:6" x14ac:dyDescent="0.25">
      <c r="B6" s="2" t="s">
        <v>10</v>
      </c>
      <c r="C6" s="43">
        <v>5565.5687661559668</v>
      </c>
      <c r="D6" s="43">
        <v>20255.191779722682</v>
      </c>
      <c r="E6" s="44">
        <v>0.33238011796919714</v>
      </c>
      <c r="F6" s="45">
        <v>140</v>
      </c>
    </row>
    <row r="7" spans="2:6" x14ac:dyDescent="0.25">
      <c r="B7" s="2" t="s">
        <v>33</v>
      </c>
      <c r="C7" s="43">
        <v>4436.8110504109427</v>
      </c>
      <c r="D7" s="43">
        <v>10560.311050410941</v>
      </c>
      <c r="E7" s="44">
        <v>0.47016922142768613</v>
      </c>
      <c r="F7" s="45">
        <v>126</v>
      </c>
    </row>
    <row r="8" spans="2:6" x14ac:dyDescent="0.25">
      <c r="B8" s="2" t="s">
        <v>356</v>
      </c>
      <c r="C8" s="43">
        <v>27503.094324611342</v>
      </c>
      <c r="D8" s="43">
        <v>88707.241088807394</v>
      </c>
      <c r="E8" s="44">
        <v>0.38210583221843686</v>
      </c>
      <c r="F8" s="47">
        <f>AVERAGE(F4:F7)</f>
        <v>153.25</v>
      </c>
    </row>
    <row r="9" spans="2:6" x14ac:dyDescent="0.25">
      <c r="F9" s="45"/>
    </row>
    <row r="10" spans="2:6" x14ac:dyDescent="0.25">
      <c r="B10" s="1" t="s">
        <v>355</v>
      </c>
      <c r="C10" t="s">
        <v>414</v>
      </c>
      <c r="D10" t="s">
        <v>413</v>
      </c>
      <c r="E10" t="s">
        <v>412</v>
      </c>
      <c r="F10" s="46" t="s">
        <v>415</v>
      </c>
    </row>
    <row r="11" spans="2:6" x14ac:dyDescent="0.25">
      <c r="B11" s="2" t="s">
        <v>2</v>
      </c>
      <c r="C11" s="43">
        <v>19439.23947</v>
      </c>
      <c r="D11" s="43">
        <v>64789.817357142834</v>
      </c>
      <c r="E11" s="44">
        <v>0.30805798961041936</v>
      </c>
      <c r="F11" s="45">
        <v>214</v>
      </c>
    </row>
    <row r="12" spans="2:6" x14ac:dyDescent="0.25">
      <c r="B12" s="2" t="s">
        <v>9</v>
      </c>
      <c r="C12" s="43">
        <v>5630.3236966666664</v>
      </c>
      <c r="D12" s="43">
        <v>10616.090111111111</v>
      </c>
      <c r="E12" s="44">
        <v>0.53716647157139663</v>
      </c>
      <c r="F12" s="45">
        <v>234</v>
      </c>
    </row>
    <row r="13" spans="2:6" x14ac:dyDescent="0.25">
      <c r="B13" s="2" t="s">
        <v>41</v>
      </c>
      <c r="C13" s="43">
        <v>1460.834592727273</v>
      </c>
      <c r="D13" s="43">
        <v>3144.7502727272722</v>
      </c>
      <c r="E13" s="44">
        <v>0.46104741951806633</v>
      </c>
      <c r="F13" s="45">
        <v>78</v>
      </c>
    </row>
    <row r="14" spans="2:6" x14ac:dyDescent="0.25">
      <c r="B14" s="2" t="s">
        <v>23</v>
      </c>
      <c r="C14" s="43">
        <v>972.69656521739194</v>
      </c>
      <c r="D14" s="43">
        <v>10156.583347826087</v>
      </c>
      <c r="E14" s="44">
        <v>8.9408549570861529E-2</v>
      </c>
      <c r="F14" s="45">
        <v>87</v>
      </c>
    </row>
    <row r="15" spans="2:6" x14ac:dyDescent="0.25">
      <c r="B15" s="2" t="s">
        <v>356</v>
      </c>
      <c r="C15" s="43">
        <v>27503.094324611327</v>
      </c>
      <c r="D15" s="43">
        <v>88707.241088807365</v>
      </c>
      <c r="E15" s="44">
        <v>0.38210583221843691</v>
      </c>
      <c r="F15" s="46">
        <f>AVERAGE(F11:F14)</f>
        <v>153.25</v>
      </c>
    </row>
    <row r="17" spans="2:7" x14ac:dyDescent="0.25">
      <c r="B17" s="1" t="s">
        <v>355</v>
      </c>
      <c r="C17" t="s">
        <v>414</v>
      </c>
      <c r="D17" t="s">
        <v>413</v>
      </c>
      <c r="E17" s="46" t="s">
        <v>415</v>
      </c>
      <c r="F17" s="46" t="s">
        <v>416</v>
      </c>
      <c r="G17" s="46" t="s">
        <v>417</v>
      </c>
    </row>
    <row r="18" spans="2:7" x14ac:dyDescent="0.25">
      <c r="B18" s="2" t="s">
        <v>17</v>
      </c>
      <c r="C18" s="43">
        <v>6310.4712197960971</v>
      </c>
      <c r="D18" s="43">
        <v>20497.26659363824</v>
      </c>
      <c r="E18" s="45">
        <v>171</v>
      </c>
      <c r="F18" s="48">
        <f t="shared" ref="F18:F23" si="0">C18/GETPIVOTDATA("Suma zysków brutto",$B$17)</f>
        <v>0.22944586326597907</v>
      </c>
      <c r="G18" s="2" t="s">
        <v>17</v>
      </c>
    </row>
    <row r="19" spans="2:7" x14ac:dyDescent="0.25">
      <c r="B19" s="2" t="s">
        <v>31</v>
      </c>
      <c r="C19" s="43">
        <v>5609.0987679534474</v>
      </c>
      <c r="D19" s="43">
        <v>19745.094150511326</v>
      </c>
      <c r="E19" s="45">
        <v>89</v>
      </c>
      <c r="F19" s="48">
        <f t="shared" si="0"/>
        <v>0.20394427993268038</v>
      </c>
      <c r="G19" s="2" t="s">
        <v>31</v>
      </c>
    </row>
    <row r="20" spans="2:7" x14ac:dyDescent="0.25">
      <c r="B20" s="2" t="s">
        <v>14</v>
      </c>
      <c r="C20" s="43">
        <v>5176.3632240372681</v>
      </c>
      <c r="D20" s="43">
        <v>13950.474049501225</v>
      </c>
      <c r="E20" s="45">
        <v>105</v>
      </c>
      <c r="F20" s="48">
        <f t="shared" si="0"/>
        <v>0.18821021238345401</v>
      </c>
      <c r="G20" s="2" t="s">
        <v>14</v>
      </c>
    </row>
    <row r="21" spans="2:7" x14ac:dyDescent="0.25">
      <c r="B21" s="2" t="s">
        <v>4</v>
      </c>
      <c r="C21" s="43">
        <v>4858.6101823690333</v>
      </c>
      <c r="D21" s="43">
        <v>15411.592482715354</v>
      </c>
      <c r="E21" s="45">
        <v>92</v>
      </c>
      <c r="F21" s="48">
        <f t="shared" si="0"/>
        <v>0.17665685631675532</v>
      </c>
      <c r="G21" s="2" t="s">
        <v>4</v>
      </c>
    </row>
    <row r="22" spans="2:7" x14ac:dyDescent="0.25">
      <c r="B22" s="2" t="s">
        <v>20</v>
      </c>
      <c r="C22" s="43">
        <v>3975.7603733521555</v>
      </c>
      <c r="D22" s="43">
        <v>13605.533345724329</v>
      </c>
      <c r="E22" s="45">
        <v>118</v>
      </c>
      <c r="F22" s="48">
        <f t="shared" si="0"/>
        <v>0.14455683882065659</v>
      </c>
      <c r="G22" s="2" t="s">
        <v>20</v>
      </c>
    </row>
    <row r="23" spans="2:7" x14ac:dyDescent="0.25">
      <c r="B23" s="2" t="s">
        <v>296</v>
      </c>
      <c r="C23" s="43">
        <v>1572.790557103332</v>
      </c>
      <c r="D23" s="43">
        <v>5497.2804667168584</v>
      </c>
      <c r="E23" s="45">
        <v>38</v>
      </c>
      <c r="F23" s="48">
        <f t="shared" si="0"/>
        <v>5.7185949280474581E-2</v>
      </c>
      <c r="G23" s="2" t="s">
        <v>296</v>
      </c>
    </row>
    <row r="24" spans="2:7" x14ac:dyDescent="0.25">
      <c r="B24" s="2" t="s">
        <v>356</v>
      </c>
      <c r="C24" s="43">
        <v>27503.094324611335</v>
      </c>
      <c r="D24" s="43">
        <v>88707.241088807335</v>
      </c>
      <c r="E24" s="46">
        <v>613</v>
      </c>
      <c r="F24" s="46"/>
      <c r="G24" s="46"/>
    </row>
    <row r="26" spans="2:7" x14ac:dyDescent="0.25">
      <c r="B26" s="1" t="s">
        <v>355</v>
      </c>
      <c r="C26" t="s">
        <v>413</v>
      </c>
      <c r="D26" t="s">
        <v>414</v>
      </c>
      <c r="F26" s="54" t="s">
        <v>430</v>
      </c>
      <c r="G26" s="55">
        <f>'Dane przetw. (Processed data)'!H202</f>
        <v>443.53620544403668</v>
      </c>
    </row>
    <row r="27" spans="2:7" x14ac:dyDescent="0.25">
      <c r="B27" s="2" t="s">
        <v>418</v>
      </c>
      <c r="C27" s="43">
        <v>4246.670316832925</v>
      </c>
      <c r="D27" s="43">
        <v>1860.4112640655001</v>
      </c>
      <c r="F27" s="54"/>
      <c r="G27" s="55"/>
    </row>
    <row r="28" spans="2:7" x14ac:dyDescent="0.25">
      <c r="B28" s="2" t="s">
        <v>419</v>
      </c>
      <c r="C28" s="43">
        <v>8073.111358742708</v>
      </c>
      <c r="D28" s="43">
        <v>2754.369861402849</v>
      </c>
      <c r="F28" s="50"/>
      <c r="G28" s="49"/>
    </row>
    <row r="29" spans="2:7" x14ac:dyDescent="0.25">
      <c r="B29" s="2" t="s">
        <v>420</v>
      </c>
      <c r="C29" s="43">
        <v>3378.5373206286472</v>
      </c>
      <c r="D29" s="43">
        <v>1068.5225253215385</v>
      </c>
      <c r="F29" s="54" t="s">
        <v>431</v>
      </c>
      <c r="G29" s="55">
        <f>'Dane przetw. (Processed data)'!I202</f>
        <v>27503.094324611331</v>
      </c>
    </row>
    <row r="30" spans="2:7" x14ac:dyDescent="0.25">
      <c r="B30" s="2" t="s">
        <v>421</v>
      </c>
      <c r="C30" s="43">
        <v>5877.5240786749482</v>
      </c>
      <c r="D30" s="43">
        <v>1826.1644386749485</v>
      </c>
      <c r="F30" s="54"/>
      <c r="G30" s="55"/>
    </row>
    <row r="31" spans="2:7" x14ac:dyDescent="0.25">
      <c r="B31" s="2" t="s">
        <v>422</v>
      </c>
      <c r="C31" s="43">
        <v>10091.027608538803</v>
      </c>
      <c r="D31" s="43">
        <v>2778.8613386900056</v>
      </c>
      <c r="F31" s="50"/>
      <c r="G31" s="49"/>
    </row>
    <row r="32" spans="2:7" x14ac:dyDescent="0.25">
      <c r="B32" s="2" t="s">
        <v>423</v>
      </c>
      <c r="C32" s="43">
        <v>6251.3309366334151</v>
      </c>
      <c r="D32" s="43">
        <v>2210.1043761860842</v>
      </c>
      <c r="F32" s="54" t="s">
        <v>412</v>
      </c>
      <c r="G32" s="57">
        <f>'Dane przetw. (Processed data)'!J202</f>
        <v>0.38210583221843714</v>
      </c>
    </row>
    <row r="33" spans="2:7" x14ac:dyDescent="0.25">
      <c r="B33" s="2" t="s">
        <v>424</v>
      </c>
      <c r="C33" s="43">
        <v>7033.3956333521564</v>
      </c>
      <c r="D33" s="43">
        <v>2194.330435204844</v>
      </c>
      <c r="F33" s="54"/>
      <c r="G33" s="57"/>
    </row>
    <row r="34" spans="2:7" x14ac:dyDescent="0.25">
      <c r="B34" s="2" t="s">
        <v>425</v>
      </c>
      <c r="C34" s="43">
        <v>5081.7454519104094</v>
      </c>
      <c r="D34" s="43">
        <v>1752.6718906957774</v>
      </c>
      <c r="F34" s="50"/>
      <c r="G34" s="49"/>
    </row>
    <row r="35" spans="2:7" x14ac:dyDescent="0.25">
      <c r="B35" s="2" t="s">
        <v>426</v>
      </c>
      <c r="C35" s="43">
        <v>9361.7541773009616</v>
      </c>
      <c r="D35" s="43">
        <v>2691.35158451283</v>
      </c>
      <c r="F35" s="54" t="s">
        <v>432</v>
      </c>
      <c r="G35" s="56">
        <f>'Dane przetw. (Processed data)'!H202</f>
        <v>443.53620544403668</v>
      </c>
    </row>
    <row r="36" spans="2:7" x14ac:dyDescent="0.25">
      <c r="B36" s="2" t="s">
        <v>427</v>
      </c>
      <c r="C36" s="43">
        <v>7428.6995253466348</v>
      </c>
      <c r="D36" s="43">
        <v>1864.1317827661715</v>
      </c>
      <c r="F36" s="54"/>
      <c r="G36" s="56"/>
    </row>
    <row r="37" spans="2:7" x14ac:dyDescent="0.25">
      <c r="B37" s="2" t="s">
        <v>428</v>
      </c>
      <c r="C37" s="43">
        <v>9500.885136049943</v>
      </c>
      <c r="D37" s="43">
        <v>2630.0293951483782</v>
      </c>
    </row>
    <row r="38" spans="2:7" x14ac:dyDescent="0.25">
      <c r="B38" s="2" t="s">
        <v>429</v>
      </c>
      <c r="C38" s="43">
        <v>12382.559544795784</v>
      </c>
      <c r="D38" s="43">
        <v>3872.1454319424056</v>
      </c>
    </row>
    <row r="39" spans="2:7" x14ac:dyDescent="0.25">
      <c r="B39" s="2" t="s">
        <v>356</v>
      </c>
      <c r="C39" s="43">
        <v>88707.241088807335</v>
      </c>
      <c r="D39" s="43">
        <v>27503.094324611327</v>
      </c>
    </row>
  </sheetData>
  <mergeCells count="8">
    <mergeCell ref="F26:F27"/>
    <mergeCell ref="G26:G27"/>
    <mergeCell ref="F35:F36"/>
    <mergeCell ref="G35:G36"/>
    <mergeCell ref="G32:G33"/>
    <mergeCell ref="F32:F33"/>
    <mergeCell ref="G29:G30"/>
    <mergeCell ref="F29:F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B21B-64D5-44CC-86CA-DA45582D51E8}">
  <sheetPr>
    <pageSetUpPr fitToPage="1"/>
  </sheetPr>
  <dimension ref="A1"/>
  <sheetViews>
    <sheetView tabSelected="1" zoomScale="70" zoomScaleNormal="70" workbookViewId="0">
      <selection activeCell="AC13" sqref="AC13"/>
    </sheetView>
  </sheetViews>
  <sheetFormatPr defaultRowHeight="15" x14ac:dyDescent="0.25"/>
  <cols>
    <col min="1" max="1" width="9.140625" style="42" customWidth="1"/>
    <col min="2" max="16384" width="9.140625" style="42"/>
  </cols>
  <sheetData/>
  <printOptions horizontalCentered="1" verticalCentered="1"/>
  <pageMargins left="0.23622047244094491" right="0.23622047244094491" top="0.74803149606299213" bottom="0.74803149606299213" header="0.31496062992125984" footer="0.31496062992125984"/>
  <pageSetup scale="56"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6C38-A300-40C6-A010-C4234F1A0DA5}">
  <dimension ref="A1:U39"/>
  <sheetViews>
    <sheetView workbookViewId="0">
      <selection sqref="A1:U39"/>
    </sheetView>
  </sheetViews>
  <sheetFormatPr defaultRowHeight="15" x14ac:dyDescent="0.25"/>
  <cols>
    <col min="1" max="16384" width="9.140625" style="51"/>
  </cols>
  <sheetData>
    <row r="1" spans="1:21" x14ac:dyDescent="0.25">
      <c r="A1" s="52" t="s">
        <v>433</v>
      </c>
      <c r="B1" s="53"/>
      <c r="C1" s="53"/>
      <c r="D1" s="53"/>
      <c r="E1" s="53"/>
      <c r="F1" s="53"/>
      <c r="G1" s="53"/>
      <c r="H1" s="53"/>
      <c r="I1" s="53"/>
      <c r="J1" s="53"/>
      <c r="K1" s="53"/>
      <c r="L1" s="53"/>
      <c r="M1" s="53"/>
      <c r="N1" s="53"/>
      <c r="O1" s="53"/>
      <c r="P1" s="53"/>
      <c r="Q1" s="53"/>
      <c r="R1" s="53"/>
      <c r="S1" s="53"/>
      <c r="T1" s="53"/>
      <c r="U1" s="53"/>
    </row>
    <row r="2" spans="1:21" x14ac:dyDescent="0.25">
      <c r="A2" s="53"/>
      <c r="B2" s="53"/>
      <c r="C2" s="53"/>
      <c r="D2" s="53"/>
      <c r="E2" s="53"/>
      <c r="F2" s="53"/>
      <c r="G2" s="53"/>
      <c r="H2" s="53"/>
      <c r="I2" s="53"/>
      <c r="J2" s="53"/>
      <c r="K2" s="53"/>
      <c r="L2" s="53"/>
      <c r="M2" s="53"/>
      <c r="N2" s="53"/>
      <c r="O2" s="53"/>
      <c r="P2" s="53"/>
      <c r="Q2" s="53"/>
      <c r="R2" s="53"/>
      <c r="S2" s="53"/>
      <c r="T2" s="53"/>
      <c r="U2" s="53"/>
    </row>
    <row r="3" spans="1:21" x14ac:dyDescent="0.25">
      <c r="A3" s="53"/>
      <c r="B3" s="53"/>
      <c r="C3" s="53"/>
      <c r="D3" s="53"/>
      <c r="E3" s="53"/>
      <c r="F3" s="53"/>
      <c r="G3" s="53"/>
      <c r="H3" s="53"/>
      <c r="I3" s="53"/>
      <c r="J3" s="53"/>
      <c r="K3" s="53"/>
      <c r="L3" s="53"/>
      <c r="M3" s="53"/>
      <c r="N3" s="53"/>
      <c r="O3" s="53"/>
      <c r="P3" s="53"/>
      <c r="Q3" s="53"/>
      <c r="R3" s="53"/>
      <c r="S3" s="53"/>
      <c r="T3" s="53"/>
      <c r="U3" s="53"/>
    </row>
    <row r="4" spans="1:21" x14ac:dyDescent="0.25">
      <c r="A4" s="53"/>
      <c r="B4" s="53"/>
      <c r="C4" s="53"/>
      <c r="D4" s="53"/>
      <c r="E4" s="53"/>
      <c r="F4" s="53"/>
      <c r="G4" s="53"/>
      <c r="H4" s="53"/>
      <c r="I4" s="53"/>
      <c r="J4" s="53"/>
      <c r="K4" s="53"/>
      <c r="L4" s="53"/>
      <c r="M4" s="53"/>
      <c r="N4" s="53"/>
      <c r="O4" s="53"/>
      <c r="P4" s="53"/>
      <c r="Q4" s="53"/>
      <c r="R4" s="53"/>
      <c r="S4" s="53"/>
      <c r="T4" s="53"/>
      <c r="U4" s="53"/>
    </row>
    <row r="5" spans="1:21" x14ac:dyDescent="0.25">
      <c r="A5" s="53"/>
      <c r="B5" s="53"/>
      <c r="C5" s="53"/>
      <c r="D5" s="53"/>
      <c r="E5" s="53"/>
      <c r="F5" s="53"/>
      <c r="G5" s="53"/>
      <c r="H5" s="53"/>
      <c r="I5" s="53"/>
      <c r="J5" s="53"/>
      <c r="K5" s="53"/>
      <c r="L5" s="53"/>
      <c r="M5" s="53"/>
      <c r="N5" s="53"/>
      <c r="O5" s="53"/>
      <c r="P5" s="53"/>
      <c r="Q5" s="53"/>
      <c r="R5" s="53"/>
      <c r="S5" s="53"/>
      <c r="T5" s="53"/>
      <c r="U5" s="53"/>
    </row>
    <row r="6" spans="1:21" x14ac:dyDescent="0.25">
      <c r="A6" s="53"/>
      <c r="B6" s="53"/>
      <c r="C6" s="53"/>
      <c r="D6" s="53"/>
      <c r="E6" s="53"/>
      <c r="F6" s="53"/>
      <c r="G6" s="53"/>
      <c r="H6" s="53"/>
      <c r="I6" s="53"/>
      <c r="J6" s="53"/>
      <c r="K6" s="53"/>
      <c r="L6" s="53"/>
      <c r="M6" s="53"/>
      <c r="N6" s="53"/>
      <c r="O6" s="53"/>
      <c r="P6" s="53"/>
      <c r="Q6" s="53"/>
      <c r="R6" s="53"/>
      <c r="S6" s="53"/>
      <c r="T6" s="53"/>
      <c r="U6" s="53"/>
    </row>
    <row r="7" spans="1:21" x14ac:dyDescent="0.25">
      <c r="A7" s="53"/>
      <c r="B7" s="53"/>
      <c r="C7" s="53"/>
      <c r="D7" s="53"/>
      <c r="E7" s="53"/>
      <c r="F7" s="53"/>
      <c r="G7" s="53"/>
      <c r="H7" s="53"/>
      <c r="I7" s="53"/>
      <c r="J7" s="53"/>
      <c r="K7" s="53"/>
      <c r="L7" s="53"/>
      <c r="M7" s="53"/>
      <c r="N7" s="53"/>
      <c r="O7" s="53"/>
      <c r="P7" s="53"/>
      <c r="Q7" s="53"/>
      <c r="R7" s="53"/>
      <c r="S7" s="53"/>
      <c r="T7" s="53"/>
      <c r="U7" s="53"/>
    </row>
    <row r="8" spans="1:21" x14ac:dyDescent="0.25">
      <c r="A8" s="53"/>
      <c r="B8" s="53"/>
      <c r="C8" s="53"/>
      <c r="D8" s="53"/>
      <c r="E8" s="53"/>
      <c r="F8" s="53"/>
      <c r="G8" s="53"/>
      <c r="H8" s="53"/>
      <c r="I8" s="53"/>
      <c r="J8" s="53"/>
      <c r="K8" s="53"/>
      <c r="L8" s="53"/>
      <c r="M8" s="53"/>
      <c r="N8" s="53"/>
      <c r="O8" s="53"/>
      <c r="P8" s="53"/>
      <c r="Q8" s="53"/>
      <c r="R8" s="53"/>
      <c r="S8" s="53"/>
      <c r="T8" s="53"/>
      <c r="U8" s="53"/>
    </row>
    <row r="9" spans="1:21" x14ac:dyDescent="0.25">
      <c r="A9" s="53"/>
      <c r="B9" s="53"/>
      <c r="C9" s="53"/>
      <c r="D9" s="53"/>
      <c r="E9" s="53"/>
      <c r="F9" s="53"/>
      <c r="G9" s="53"/>
      <c r="H9" s="53"/>
      <c r="I9" s="53"/>
      <c r="J9" s="53"/>
      <c r="K9" s="53"/>
      <c r="L9" s="53"/>
      <c r="M9" s="53"/>
      <c r="N9" s="53"/>
      <c r="O9" s="53"/>
      <c r="P9" s="53"/>
      <c r="Q9" s="53"/>
      <c r="R9" s="53"/>
      <c r="S9" s="53"/>
      <c r="T9" s="53"/>
      <c r="U9" s="53"/>
    </row>
    <row r="10" spans="1:21" x14ac:dyDescent="0.25">
      <c r="A10" s="53"/>
      <c r="B10" s="53"/>
      <c r="C10" s="53"/>
      <c r="D10" s="53"/>
      <c r="E10" s="53"/>
      <c r="F10" s="53"/>
      <c r="G10" s="53"/>
      <c r="H10" s="53"/>
      <c r="I10" s="53"/>
      <c r="J10" s="53"/>
      <c r="K10" s="53"/>
      <c r="L10" s="53"/>
      <c r="M10" s="53"/>
      <c r="N10" s="53"/>
      <c r="O10" s="53"/>
      <c r="P10" s="53"/>
      <c r="Q10" s="53"/>
      <c r="R10" s="53"/>
      <c r="S10" s="53"/>
      <c r="T10" s="53"/>
      <c r="U10" s="53"/>
    </row>
    <row r="11" spans="1:21" x14ac:dyDescent="0.25">
      <c r="A11" s="53"/>
      <c r="B11" s="53"/>
      <c r="C11" s="53"/>
      <c r="D11" s="53"/>
      <c r="E11" s="53"/>
      <c r="F11" s="53"/>
      <c r="G11" s="53"/>
      <c r="H11" s="53"/>
      <c r="I11" s="53"/>
      <c r="J11" s="53"/>
      <c r="K11" s="53"/>
      <c r="L11" s="53"/>
      <c r="M11" s="53"/>
      <c r="N11" s="53"/>
      <c r="O11" s="53"/>
      <c r="P11" s="53"/>
      <c r="Q11" s="53"/>
      <c r="R11" s="53"/>
      <c r="S11" s="53"/>
      <c r="T11" s="53"/>
      <c r="U11" s="53"/>
    </row>
    <row r="12" spans="1:21" x14ac:dyDescent="0.25">
      <c r="A12" s="53"/>
      <c r="B12" s="53"/>
      <c r="C12" s="53"/>
      <c r="D12" s="53"/>
      <c r="E12" s="53"/>
      <c r="F12" s="53"/>
      <c r="G12" s="53"/>
      <c r="H12" s="53"/>
      <c r="I12" s="53"/>
      <c r="J12" s="53"/>
      <c r="K12" s="53"/>
      <c r="L12" s="53"/>
      <c r="M12" s="53"/>
      <c r="N12" s="53"/>
      <c r="O12" s="53"/>
      <c r="P12" s="53"/>
      <c r="Q12" s="53"/>
      <c r="R12" s="53"/>
      <c r="S12" s="53"/>
      <c r="T12" s="53"/>
      <c r="U12" s="53"/>
    </row>
    <row r="13" spans="1:21" x14ac:dyDescent="0.25">
      <c r="A13" s="53"/>
      <c r="B13" s="53"/>
      <c r="C13" s="53"/>
      <c r="D13" s="53"/>
      <c r="E13" s="53"/>
      <c r="F13" s="53"/>
      <c r="G13" s="53"/>
      <c r="H13" s="53"/>
      <c r="I13" s="53"/>
      <c r="J13" s="53"/>
      <c r="K13" s="53"/>
      <c r="L13" s="53"/>
      <c r="M13" s="53"/>
      <c r="N13" s="53"/>
      <c r="O13" s="53"/>
      <c r="P13" s="53"/>
      <c r="Q13" s="53"/>
      <c r="R13" s="53"/>
      <c r="S13" s="53"/>
      <c r="T13" s="53"/>
      <c r="U13" s="53"/>
    </row>
    <row r="14" spans="1:21" x14ac:dyDescent="0.25">
      <c r="A14" s="53"/>
      <c r="B14" s="53"/>
      <c r="C14" s="53"/>
      <c r="D14" s="53"/>
      <c r="E14" s="53"/>
      <c r="F14" s="53"/>
      <c r="G14" s="53"/>
      <c r="H14" s="53"/>
      <c r="I14" s="53"/>
      <c r="J14" s="53"/>
      <c r="K14" s="53"/>
      <c r="L14" s="53"/>
      <c r="M14" s="53"/>
      <c r="N14" s="53"/>
      <c r="O14" s="53"/>
      <c r="P14" s="53"/>
      <c r="Q14" s="53"/>
      <c r="R14" s="53"/>
      <c r="S14" s="53"/>
      <c r="T14" s="53"/>
      <c r="U14" s="53"/>
    </row>
    <row r="15" spans="1:21" x14ac:dyDescent="0.25">
      <c r="A15" s="53"/>
      <c r="B15" s="53"/>
      <c r="C15" s="53"/>
      <c r="D15" s="53"/>
      <c r="E15" s="53"/>
      <c r="F15" s="53"/>
      <c r="G15" s="53"/>
      <c r="H15" s="53"/>
      <c r="I15" s="53"/>
      <c r="J15" s="53"/>
      <c r="K15" s="53"/>
      <c r="L15" s="53"/>
      <c r="M15" s="53"/>
      <c r="N15" s="53"/>
      <c r="O15" s="53"/>
      <c r="P15" s="53"/>
      <c r="Q15" s="53"/>
      <c r="R15" s="53"/>
      <c r="S15" s="53"/>
      <c r="T15" s="53"/>
      <c r="U15" s="53"/>
    </row>
    <row r="16" spans="1:21" x14ac:dyDescent="0.25">
      <c r="A16" s="53"/>
      <c r="B16" s="53"/>
      <c r="C16" s="53"/>
      <c r="D16" s="53"/>
      <c r="E16" s="53"/>
      <c r="F16" s="53"/>
      <c r="G16" s="53"/>
      <c r="H16" s="53"/>
      <c r="I16" s="53"/>
      <c r="J16" s="53"/>
      <c r="K16" s="53"/>
      <c r="L16" s="53"/>
      <c r="M16" s="53"/>
      <c r="N16" s="53"/>
      <c r="O16" s="53"/>
      <c r="P16" s="53"/>
      <c r="Q16" s="53"/>
      <c r="R16" s="53"/>
      <c r="S16" s="53"/>
      <c r="T16" s="53"/>
      <c r="U16" s="53"/>
    </row>
    <row r="17" spans="1:21" x14ac:dyDescent="0.25">
      <c r="A17" s="53"/>
      <c r="B17" s="53"/>
      <c r="C17" s="53"/>
      <c r="D17" s="53"/>
      <c r="E17" s="53"/>
      <c r="F17" s="53"/>
      <c r="G17" s="53"/>
      <c r="H17" s="53"/>
      <c r="I17" s="53"/>
      <c r="J17" s="53"/>
      <c r="K17" s="53"/>
      <c r="L17" s="53"/>
      <c r="M17" s="53"/>
      <c r="N17" s="53"/>
      <c r="O17" s="53"/>
      <c r="P17" s="53"/>
      <c r="Q17" s="53"/>
      <c r="R17" s="53"/>
      <c r="S17" s="53"/>
      <c r="T17" s="53"/>
      <c r="U17" s="53"/>
    </row>
    <row r="18" spans="1:21" x14ac:dyDescent="0.25">
      <c r="A18" s="53"/>
      <c r="B18" s="53"/>
      <c r="C18" s="53"/>
      <c r="D18" s="53"/>
      <c r="E18" s="53"/>
      <c r="F18" s="53"/>
      <c r="G18" s="53"/>
      <c r="H18" s="53"/>
      <c r="I18" s="53"/>
      <c r="J18" s="53"/>
      <c r="K18" s="53"/>
      <c r="L18" s="53"/>
      <c r="M18" s="53"/>
      <c r="N18" s="53"/>
      <c r="O18" s="53"/>
      <c r="P18" s="53"/>
      <c r="Q18" s="53"/>
      <c r="R18" s="53"/>
      <c r="S18" s="53"/>
      <c r="T18" s="53"/>
      <c r="U18" s="53"/>
    </row>
    <row r="19" spans="1:21" x14ac:dyDescent="0.25">
      <c r="A19" s="53"/>
      <c r="B19" s="53"/>
      <c r="C19" s="53"/>
      <c r="D19" s="53"/>
      <c r="E19" s="53"/>
      <c r="F19" s="53"/>
      <c r="G19" s="53"/>
      <c r="H19" s="53"/>
      <c r="I19" s="53"/>
      <c r="J19" s="53"/>
      <c r="K19" s="53"/>
      <c r="L19" s="53"/>
      <c r="M19" s="53"/>
      <c r="N19" s="53"/>
      <c r="O19" s="53"/>
      <c r="P19" s="53"/>
      <c r="Q19" s="53"/>
      <c r="R19" s="53"/>
      <c r="S19" s="53"/>
      <c r="T19" s="53"/>
      <c r="U19" s="53"/>
    </row>
    <row r="20" spans="1:21" x14ac:dyDescent="0.25">
      <c r="A20" s="53"/>
      <c r="B20" s="53"/>
      <c r="C20" s="53"/>
      <c r="D20" s="53"/>
      <c r="E20" s="53"/>
      <c r="F20" s="53"/>
      <c r="G20" s="53"/>
      <c r="H20" s="53"/>
      <c r="I20" s="53"/>
      <c r="J20" s="53"/>
      <c r="K20" s="53"/>
      <c r="L20" s="53"/>
      <c r="M20" s="53"/>
      <c r="N20" s="53"/>
      <c r="O20" s="53"/>
      <c r="P20" s="53"/>
      <c r="Q20" s="53"/>
      <c r="R20" s="53"/>
      <c r="S20" s="53"/>
      <c r="T20" s="53"/>
      <c r="U20" s="53"/>
    </row>
    <row r="21" spans="1:21" x14ac:dyDescent="0.25">
      <c r="A21" s="53"/>
      <c r="B21" s="53"/>
      <c r="C21" s="53"/>
      <c r="D21" s="53"/>
      <c r="E21" s="53"/>
      <c r="F21" s="53"/>
      <c r="G21" s="53"/>
      <c r="H21" s="53"/>
      <c r="I21" s="53"/>
      <c r="J21" s="53"/>
      <c r="K21" s="53"/>
      <c r="L21" s="53"/>
      <c r="M21" s="53"/>
      <c r="N21" s="53"/>
      <c r="O21" s="53"/>
      <c r="P21" s="53"/>
      <c r="Q21" s="53"/>
      <c r="R21" s="53"/>
      <c r="S21" s="53"/>
      <c r="T21" s="53"/>
      <c r="U21" s="53"/>
    </row>
    <row r="22" spans="1:21" x14ac:dyDescent="0.25">
      <c r="A22" s="53"/>
      <c r="B22" s="53"/>
      <c r="C22" s="53"/>
      <c r="D22" s="53"/>
      <c r="E22" s="53"/>
      <c r="F22" s="53"/>
      <c r="G22" s="53"/>
      <c r="H22" s="53"/>
      <c r="I22" s="53"/>
      <c r="J22" s="53"/>
      <c r="K22" s="53"/>
      <c r="L22" s="53"/>
      <c r="M22" s="53"/>
      <c r="N22" s="53"/>
      <c r="O22" s="53"/>
      <c r="P22" s="53"/>
      <c r="Q22" s="53"/>
      <c r="R22" s="53"/>
      <c r="S22" s="53"/>
      <c r="T22" s="53"/>
      <c r="U22" s="53"/>
    </row>
    <row r="23" spans="1:21" x14ac:dyDescent="0.25">
      <c r="A23" s="53"/>
      <c r="B23" s="53"/>
      <c r="C23" s="53"/>
      <c r="D23" s="53"/>
      <c r="E23" s="53"/>
      <c r="F23" s="53"/>
      <c r="G23" s="53"/>
      <c r="H23" s="53"/>
      <c r="I23" s="53"/>
      <c r="J23" s="53"/>
      <c r="K23" s="53"/>
      <c r="L23" s="53"/>
      <c r="M23" s="53"/>
      <c r="N23" s="53"/>
      <c r="O23" s="53"/>
      <c r="P23" s="53"/>
      <c r="Q23" s="53"/>
      <c r="R23" s="53"/>
      <c r="S23" s="53"/>
      <c r="T23" s="53"/>
      <c r="U23" s="53"/>
    </row>
    <row r="24" spans="1:21" x14ac:dyDescent="0.25">
      <c r="A24" s="53"/>
      <c r="B24" s="53"/>
      <c r="C24" s="53"/>
      <c r="D24" s="53"/>
      <c r="E24" s="53"/>
      <c r="F24" s="53"/>
      <c r="G24" s="53"/>
      <c r="H24" s="53"/>
      <c r="I24" s="53"/>
      <c r="J24" s="53"/>
      <c r="K24" s="53"/>
      <c r="L24" s="53"/>
      <c r="M24" s="53"/>
      <c r="N24" s="53"/>
      <c r="O24" s="53"/>
      <c r="P24" s="53"/>
      <c r="Q24" s="53"/>
      <c r="R24" s="53"/>
      <c r="S24" s="53"/>
      <c r="T24" s="53"/>
      <c r="U24" s="53"/>
    </row>
    <row r="25" spans="1:21" x14ac:dyDescent="0.25">
      <c r="A25" s="53"/>
      <c r="B25" s="53"/>
      <c r="C25" s="53"/>
      <c r="D25" s="53"/>
      <c r="E25" s="53"/>
      <c r="F25" s="53"/>
      <c r="G25" s="53"/>
      <c r="H25" s="53"/>
      <c r="I25" s="53"/>
      <c r="J25" s="53"/>
      <c r="K25" s="53"/>
      <c r="L25" s="53"/>
      <c r="M25" s="53"/>
      <c r="N25" s="53"/>
      <c r="O25" s="53"/>
      <c r="P25" s="53"/>
      <c r="Q25" s="53"/>
      <c r="R25" s="53"/>
      <c r="S25" s="53"/>
      <c r="T25" s="53"/>
      <c r="U25" s="53"/>
    </row>
    <row r="26" spans="1:21" x14ac:dyDescent="0.25">
      <c r="A26" s="53"/>
      <c r="B26" s="53"/>
      <c r="C26" s="53"/>
      <c r="D26" s="53"/>
      <c r="E26" s="53"/>
      <c r="F26" s="53"/>
      <c r="G26" s="53"/>
      <c r="H26" s="53"/>
      <c r="I26" s="53"/>
      <c r="J26" s="53"/>
      <c r="K26" s="53"/>
      <c r="L26" s="53"/>
      <c r="M26" s="53"/>
      <c r="N26" s="53"/>
      <c r="O26" s="53"/>
      <c r="P26" s="53"/>
      <c r="Q26" s="53"/>
      <c r="R26" s="53"/>
      <c r="S26" s="53"/>
      <c r="T26" s="53"/>
      <c r="U26" s="53"/>
    </row>
    <row r="27" spans="1:21" x14ac:dyDescent="0.25">
      <c r="A27" s="53"/>
      <c r="B27" s="53"/>
      <c r="C27" s="53"/>
      <c r="D27" s="53"/>
      <c r="E27" s="53"/>
      <c r="F27" s="53"/>
      <c r="G27" s="53"/>
      <c r="H27" s="53"/>
      <c r="I27" s="53"/>
      <c r="J27" s="53"/>
      <c r="K27" s="53"/>
      <c r="L27" s="53"/>
      <c r="M27" s="53"/>
      <c r="N27" s="53"/>
      <c r="O27" s="53"/>
      <c r="P27" s="53"/>
      <c r="Q27" s="53"/>
      <c r="R27" s="53"/>
      <c r="S27" s="53"/>
      <c r="T27" s="53"/>
      <c r="U27" s="53"/>
    </row>
    <row r="28" spans="1:21" x14ac:dyDescent="0.25">
      <c r="A28" s="53"/>
      <c r="B28" s="53"/>
      <c r="C28" s="53"/>
      <c r="D28" s="53"/>
      <c r="E28" s="53"/>
      <c r="F28" s="53"/>
      <c r="G28" s="53"/>
      <c r="H28" s="53"/>
      <c r="I28" s="53"/>
      <c r="J28" s="53"/>
      <c r="K28" s="53"/>
      <c r="L28" s="53"/>
      <c r="M28" s="53"/>
      <c r="N28" s="53"/>
      <c r="O28" s="53"/>
      <c r="P28" s="53"/>
      <c r="Q28" s="53"/>
      <c r="R28" s="53"/>
      <c r="S28" s="53"/>
      <c r="T28" s="53"/>
      <c r="U28" s="53"/>
    </row>
    <row r="29" spans="1:21" x14ac:dyDescent="0.25">
      <c r="A29" s="53"/>
      <c r="B29" s="53"/>
      <c r="C29" s="53"/>
      <c r="D29" s="53"/>
      <c r="E29" s="53"/>
      <c r="F29" s="53"/>
      <c r="G29" s="53"/>
      <c r="H29" s="53"/>
      <c r="I29" s="53"/>
      <c r="J29" s="53"/>
      <c r="K29" s="53"/>
      <c r="L29" s="53"/>
      <c r="M29" s="53"/>
      <c r="N29" s="53"/>
      <c r="O29" s="53"/>
      <c r="P29" s="53"/>
      <c r="Q29" s="53"/>
      <c r="R29" s="53"/>
      <c r="S29" s="53"/>
      <c r="T29" s="53"/>
      <c r="U29" s="53"/>
    </row>
    <row r="30" spans="1:21" x14ac:dyDescent="0.25">
      <c r="A30" s="53"/>
      <c r="B30" s="53"/>
      <c r="C30" s="53"/>
      <c r="D30" s="53"/>
      <c r="E30" s="53"/>
      <c r="F30" s="53"/>
      <c r="G30" s="53"/>
      <c r="H30" s="53"/>
      <c r="I30" s="53"/>
      <c r="J30" s="53"/>
      <c r="K30" s="53"/>
      <c r="L30" s="53"/>
      <c r="M30" s="53"/>
      <c r="N30" s="53"/>
      <c r="O30" s="53"/>
      <c r="P30" s="53"/>
      <c r="Q30" s="53"/>
      <c r="R30" s="53"/>
      <c r="S30" s="53"/>
      <c r="T30" s="53"/>
      <c r="U30" s="53"/>
    </row>
    <row r="31" spans="1:21" x14ac:dyDescent="0.25">
      <c r="A31" s="53"/>
      <c r="B31" s="53"/>
      <c r="C31" s="53"/>
      <c r="D31" s="53"/>
      <c r="E31" s="53"/>
      <c r="F31" s="53"/>
      <c r="G31" s="53"/>
      <c r="H31" s="53"/>
      <c r="I31" s="53"/>
      <c r="J31" s="53"/>
      <c r="K31" s="53"/>
      <c r="L31" s="53"/>
      <c r="M31" s="53"/>
      <c r="N31" s="53"/>
      <c r="O31" s="53"/>
      <c r="P31" s="53"/>
      <c r="Q31" s="53"/>
      <c r="R31" s="53"/>
      <c r="S31" s="53"/>
      <c r="T31" s="53"/>
      <c r="U31" s="53"/>
    </row>
    <row r="32" spans="1:21" x14ac:dyDescent="0.25">
      <c r="A32" s="53"/>
      <c r="B32" s="53"/>
      <c r="C32" s="53"/>
      <c r="D32" s="53"/>
      <c r="E32" s="53"/>
      <c r="F32" s="53"/>
      <c r="G32" s="53"/>
      <c r="H32" s="53"/>
      <c r="I32" s="53"/>
      <c r="J32" s="53"/>
      <c r="K32" s="53"/>
      <c r="L32" s="53"/>
      <c r="M32" s="53"/>
      <c r="N32" s="53"/>
      <c r="O32" s="53"/>
      <c r="P32" s="53"/>
      <c r="Q32" s="53"/>
      <c r="R32" s="53"/>
      <c r="S32" s="53"/>
      <c r="T32" s="53"/>
      <c r="U32" s="53"/>
    </row>
    <row r="33" spans="1:21" x14ac:dyDescent="0.25">
      <c r="A33" s="53"/>
      <c r="B33" s="53"/>
      <c r="C33" s="53"/>
      <c r="D33" s="53"/>
      <c r="E33" s="53"/>
      <c r="F33" s="53"/>
      <c r="G33" s="53"/>
      <c r="H33" s="53"/>
      <c r="I33" s="53"/>
      <c r="J33" s="53"/>
      <c r="K33" s="53"/>
      <c r="L33" s="53"/>
      <c r="M33" s="53"/>
      <c r="N33" s="53"/>
      <c r="O33" s="53"/>
      <c r="P33" s="53"/>
      <c r="Q33" s="53"/>
      <c r="R33" s="53"/>
      <c r="S33" s="53"/>
      <c r="T33" s="53"/>
      <c r="U33" s="53"/>
    </row>
    <row r="34" spans="1:21" x14ac:dyDescent="0.25">
      <c r="A34" s="53"/>
      <c r="B34" s="53"/>
      <c r="C34" s="53"/>
      <c r="D34" s="53"/>
      <c r="E34" s="53"/>
      <c r="F34" s="53"/>
      <c r="G34" s="53"/>
      <c r="H34" s="53"/>
      <c r="I34" s="53"/>
      <c r="J34" s="53"/>
      <c r="K34" s="53"/>
      <c r="L34" s="53"/>
      <c r="M34" s="53"/>
      <c r="N34" s="53"/>
      <c r="O34" s="53"/>
      <c r="P34" s="53"/>
      <c r="Q34" s="53"/>
      <c r="R34" s="53"/>
      <c r="S34" s="53"/>
      <c r="T34" s="53"/>
      <c r="U34" s="53"/>
    </row>
    <row r="35" spans="1:21" x14ac:dyDescent="0.25">
      <c r="A35" s="53"/>
      <c r="B35" s="53"/>
      <c r="C35" s="53"/>
      <c r="D35" s="53"/>
      <c r="E35" s="53"/>
      <c r="F35" s="53"/>
      <c r="G35" s="53"/>
      <c r="H35" s="53"/>
      <c r="I35" s="53"/>
      <c r="J35" s="53"/>
      <c r="K35" s="53"/>
      <c r="L35" s="53"/>
      <c r="M35" s="53"/>
      <c r="N35" s="53"/>
      <c r="O35" s="53"/>
      <c r="P35" s="53"/>
      <c r="Q35" s="53"/>
      <c r="R35" s="53"/>
      <c r="S35" s="53"/>
      <c r="T35" s="53"/>
      <c r="U35" s="53"/>
    </row>
    <row r="36" spans="1:21" x14ac:dyDescent="0.25">
      <c r="A36" s="53"/>
      <c r="B36" s="53"/>
      <c r="C36" s="53"/>
      <c r="D36" s="53"/>
      <c r="E36" s="53"/>
      <c r="F36" s="53"/>
      <c r="G36" s="53"/>
      <c r="H36" s="53"/>
      <c r="I36" s="53"/>
      <c r="J36" s="53"/>
      <c r="K36" s="53"/>
      <c r="L36" s="53"/>
      <c r="M36" s="53"/>
      <c r="N36" s="53"/>
      <c r="O36" s="53"/>
      <c r="P36" s="53"/>
      <c r="Q36" s="53"/>
      <c r="R36" s="53"/>
      <c r="S36" s="53"/>
      <c r="T36" s="53"/>
      <c r="U36" s="53"/>
    </row>
    <row r="37" spans="1:21" x14ac:dyDescent="0.25">
      <c r="A37" s="53"/>
      <c r="B37" s="53"/>
      <c r="C37" s="53"/>
      <c r="D37" s="53"/>
      <c r="E37" s="53"/>
      <c r="F37" s="53"/>
      <c r="G37" s="53"/>
      <c r="H37" s="53"/>
      <c r="I37" s="53"/>
      <c r="J37" s="53"/>
      <c r="K37" s="53"/>
      <c r="L37" s="53"/>
      <c r="M37" s="53"/>
      <c r="N37" s="53"/>
      <c r="O37" s="53"/>
      <c r="P37" s="53"/>
      <c r="Q37" s="53"/>
      <c r="R37" s="53"/>
      <c r="S37" s="53"/>
      <c r="T37" s="53"/>
      <c r="U37" s="53"/>
    </row>
    <row r="38" spans="1:21" x14ac:dyDescent="0.25">
      <c r="A38" s="53"/>
      <c r="B38" s="53"/>
      <c r="C38" s="53"/>
      <c r="D38" s="53"/>
      <c r="E38" s="53"/>
      <c r="F38" s="53"/>
      <c r="G38" s="53"/>
      <c r="H38" s="53"/>
      <c r="I38" s="53"/>
      <c r="J38" s="53"/>
      <c r="K38" s="53"/>
      <c r="L38" s="53"/>
      <c r="M38" s="53"/>
      <c r="N38" s="53"/>
      <c r="O38" s="53"/>
      <c r="P38" s="53"/>
      <c r="Q38" s="53"/>
      <c r="R38" s="53"/>
      <c r="S38" s="53"/>
      <c r="T38" s="53"/>
      <c r="U38" s="53"/>
    </row>
    <row r="39" spans="1:21" x14ac:dyDescent="0.25">
      <c r="A39" s="53"/>
      <c r="B39" s="53"/>
      <c r="C39" s="53"/>
      <c r="D39" s="53"/>
      <c r="E39" s="53"/>
      <c r="F39" s="53"/>
      <c r="G39" s="53"/>
      <c r="H39" s="53"/>
      <c r="I39" s="53"/>
      <c r="J39" s="53"/>
      <c r="K39" s="53"/>
      <c r="L39" s="53"/>
      <c r="M39" s="53"/>
      <c r="N39" s="53"/>
      <c r="O39" s="53"/>
      <c r="P39" s="53"/>
      <c r="Q39" s="53"/>
      <c r="R39" s="53"/>
      <c r="S39" s="53"/>
      <c r="T39" s="53"/>
      <c r="U39" s="53"/>
    </row>
  </sheetData>
  <mergeCells count="1">
    <mergeCell ref="A1:U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8</vt:i4>
      </vt:variant>
      <vt:variant>
        <vt:lpstr>Nazwane zakresy</vt:lpstr>
      </vt:variant>
      <vt:variant>
        <vt:i4>3</vt:i4>
      </vt:variant>
    </vt:vector>
  </HeadingPairs>
  <TitlesOfParts>
    <vt:vector size="11" baseType="lpstr">
      <vt:lpstr>Dane surowe (Raw data)</vt:lpstr>
      <vt:lpstr>Client lookup table</vt:lpstr>
      <vt:lpstr>Product lookup table</vt:lpstr>
      <vt:lpstr>Założenia (Assumptions)</vt:lpstr>
      <vt:lpstr>Dane przetw. (Processed data)</vt:lpstr>
      <vt:lpstr>Analiza (Analysis)</vt:lpstr>
      <vt:lpstr>Dashboard</vt:lpstr>
      <vt:lpstr>Wnioski</vt:lpstr>
      <vt:lpstr>Client</vt:lpstr>
      <vt:lpstr>Product</vt:lpstr>
      <vt:lpstr>Prowizje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Gal</dc:creator>
  <cp:lastModifiedBy>Dominik Burgfeld (279218)</cp:lastModifiedBy>
  <cp:lastPrinted>2026-06-06T17:19:42Z</cp:lastPrinted>
  <dcterms:created xsi:type="dcterms:W3CDTF">2026-05-06T12:20:11Z</dcterms:created>
  <dcterms:modified xsi:type="dcterms:W3CDTF">2026-06-06T19:23:24Z</dcterms:modified>
</cp:coreProperties>
</file>